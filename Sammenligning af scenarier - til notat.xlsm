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562C9BB7-9E6D-4151-80C6-0183E8E062B2}" xr6:coauthVersionLast="47" xr6:coauthVersionMax="47" xr10:uidLastSave="{00000000-0000-0000-0000-000000000000}"/>
  <bookViews>
    <workbookView xWindow="-19310" yWindow="-110" windowWidth="19420" windowHeight="11620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9586" r:id="rId22"/>
    <pivotCache cacheId="9590" r:id="rId23"/>
    <pivotCache cacheId="9594" r:id="rId24"/>
    <pivotCache cacheId="9598" r:id="rId25"/>
    <pivotCache cacheId="9602" r:id="rId26"/>
    <pivotCache cacheId="9606" r:id="rId27"/>
    <pivotCache cacheId="9610" r:id="rId28"/>
    <pivotCache cacheId="9614" r:id="rId29"/>
    <pivotCache cacheId="9619" r:id="rId30"/>
    <pivotCache cacheId="9623" r:id="rId31"/>
    <pivotCache cacheId="9627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20" i="18" l="1"/>
  <c r="AD220" i="18"/>
  <c r="AC220" i="18"/>
  <c r="AB220" i="18"/>
  <c r="AU76" i="18"/>
  <c r="AF35" i="18" l="1"/>
  <c r="AF34" i="18"/>
  <c r="AL35" i="18"/>
  <c r="AJ35" i="18"/>
  <c r="AH35" i="18"/>
  <c r="AJ33" i="18"/>
  <c r="AL34" i="18"/>
  <c r="AI33" i="18"/>
  <c r="AK34" i="18"/>
  <c r="AH33" i="18"/>
  <c r="AJ34" i="18"/>
  <c r="AL32" i="18"/>
  <c r="AI34" i="18"/>
  <c r="AK32" i="18"/>
  <c r="AK35" i="18"/>
  <c r="AH34" i="18"/>
  <c r="AJ32" i="18"/>
  <c r="AL33" i="18"/>
  <c r="AI32" i="18"/>
  <c r="AI35" i="18"/>
  <c r="AK33" i="18"/>
  <c r="AH32" i="18"/>
  <c r="AL31" i="18"/>
  <c r="AJ31" i="18"/>
  <c r="AI31" i="18"/>
  <c r="AK31" i="18"/>
  <c r="AH31" i="18"/>
  <c r="AJ67" i="18"/>
  <c r="AI67" i="18"/>
  <c r="AF67" i="18"/>
  <c r="AH67" i="18"/>
  <c r="AG67" i="18"/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<sst xmlns="http://schemas.openxmlformats.org/spreadsheetml/2006/main" count="13231" uniqueCount="156">
  <si>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</si>
  <si>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</si>
  <si>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</si>
  <si>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</si>
  <si>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</si>
  <si>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</si>
  <si>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</si>
  <si>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</si>
  <si>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</si>
  <si>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</si>
  <si>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</si>
  <si>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</si>
  <si>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</si>
  <si>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</si>
  <si>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</si>
  <si>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</si>
  <si>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</si>
  <si>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</si>
  <si>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</si>
  <si>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</si>
  <si>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</si>
  <si>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</si>
  <si>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</si>
  <si>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</si>
  <si>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</si>
  <si>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</si>
  <si>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</si>
  <si>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</si>
  <si>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</si>
  <si>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</si>
  <si>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</si>
  <si>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</si>
  <si>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</si>
  <si>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</si>
  <si>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</si>
  <si>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</si>
  <si>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</si>
  <si>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</si>
  <si>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</si>
  <si>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</si>
  <si>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</si>
  <si>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</si>
  <si>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</si>
  <si>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</si>
  <si>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</si>
  <si>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</si>
  <si>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</si>
  <si>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</si>
  <si>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</si>
  <si>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</si>
  <si>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</si>
  <si>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</si>
  <si>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</si>
  <si>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</si>
  <si>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</si>
  <si>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</si>
  <si>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</si>
  <si>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</si>
  <si>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</si>
  <si>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</si>
  <si>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</si>
  <si>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</si>
  <si>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</si>
  <si>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</si>
  <si>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</si>
  <si>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</si>
  <si>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</si>
  <si>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</si>
  <si>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</si>
  <si>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</si>
  <si>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</si>
  <si>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</si>
  <si>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</si>
  <si>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</si>
  <si>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</si>
  <si>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</si>
  <si>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</si>
  <si>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</si>
  <si>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</si>
  <si>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</si>
  <si>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</si>
  <si>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</si>
  <si>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</si>
  <si>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</si>
  <si>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</si>
  <si>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</si>
  <si>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</si>
  <si>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</si>
  <si>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</si>
  <si>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</si>
  <si>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</si>
  <si>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</si>
  <si>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</si>
  <si>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</si>
  <si>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</si>
  <si>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</si>
  <si>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</si>
  <si>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</si>
  <si>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</si>
  <si>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</si>
  <si>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</si>
  <si>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</si>
  <si>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</si>
  <si>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</si>
  <si>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</si>
  <si>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</si>
  <si>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</si>
  <si>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</si>
  <si>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</si>
  <si>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</si>
  <si>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</si>
  <si>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</si>
  <si>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</si>
  <si>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</si>
  <si>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</si>
  <si>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</si>
  <si>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</si>
  <si>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</si>
  <si>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</si>
  <si>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</si>
  <si>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</si>
  <si>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</si>
  <si>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</si>
  <si>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</si>
  <si>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</si>
  <si>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</si>
  <si>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</si>
  <si>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</si>
  <si>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</si>
  <si>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</si>
  <si>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</si>
  <si>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</si>
  <si>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</si>
  <si>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</si>
  <si>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</si>
  <si>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</si>
  <si>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</si>
  <si>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</si>
  <si>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</si>
  <si>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</si>
  <si>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</si>
  <si>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</si>
  <si>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HWP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</si>
  <si>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</si>
  <si>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</si>
  <si>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</si>
  <si>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</si>
  <si>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</si>
  <si>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</si>
  <si>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</si>
  <si>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</si>
  <si>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Teknologioptimist</t>
  </si>
  <si>
    <t>Teknologiuafhaengig</t>
  </si>
  <si>
    <t>Teknologi-optimist</t>
  </si>
  <si>
    <t>Teknologi-uafhængig</t>
  </si>
  <si>
    <t>Teknologi-uafhaengig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</si>
</sst>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8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Border="0" applyAlignment="0"/>
    <xf numFmtId="9" fontId="3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  <xf numFmtId="164" fontId="0" fillId="2" borderId="0" xfId="0" applyNumberFormat="1" applyFill="1"/>
    <xf numFmtId="168" fontId="0" fillId="2" borderId="0" xfId="0" applyNumberFormat="1" applyFill="1"/>
    <xf numFmtId="9" fontId="0" fillId="2" borderId="0" xfId="2" applyFont="1" applyFill="1"/>
  </cellXfs>
  <cellStyles count="3">
    <cellStyle name="Normal" xfId="0" builtinId="0"/>
    <cellStyle name="Normal 2" xfId="1" xr:uid="{FE0A646F-8102-4D9B-920E-A461BC088216}"/>
    <cellStyle name="Percent" xfId="2" builtinId="5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colors>
    <mruColors>
      <color rgb="FF77B262"/>
      <color rgb="FF67A8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pivot'!$B$4:$B$10</c:f>
              <c:numCache>
                <c:formatCode>#,##0</c:formatCode>
                <c:ptCount val="4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pivot'!$C$4:$C$10</c:f>
              <c:numCache>
                <c:formatCode>#,##0</c:formatCode>
                <c:ptCount val="4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pivot'!$D$4:$D$10</c:f>
              <c:numCache>
                <c:formatCode>#,##0</c:formatCode>
                <c:ptCount val="4"/>
                <c:pt idx="0">
                  <c:v>2318369.9999999995</c:v>
                </c:pt>
                <c:pt idx="1">
                  <c:v>2278370</c:v>
                </c:pt>
                <c:pt idx="2">
                  <c:v>1959636</c:v>
                </c:pt>
                <c:pt idx="3">
                  <c:v>1959636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pivot'!$E$4:$E$10</c:f>
              <c:numCache>
                <c:formatCode>#,##0</c:formatCode>
                <c:ptCount val="4"/>
                <c:pt idx="0">
                  <c:v>572920.00000000012</c:v>
                </c:pt>
                <c:pt idx="1">
                  <c:v>572920</c:v>
                </c:pt>
                <c:pt idx="2">
                  <c:v>651654.00000000012</c:v>
                </c:pt>
                <c:pt idx="3">
                  <c:v>651654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pivot'!$F$4:$F$10</c:f>
              <c:numCache>
                <c:formatCode>#,##0</c:formatCode>
                <c:ptCount val="4"/>
                <c:pt idx="0">
                  <c:v>721900</c:v>
                </c:pt>
                <c:pt idx="1">
                  <c:v>761900</c:v>
                </c:pt>
                <c:pt idx="2">
                  <c:v>1001900</c:v>
                </c:pt>
                <c:pt idx="3">
                  <c:v>1001900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pivot'!$B$4:$B$10</c:f>
              <c:numCache>
                <c:formatCode>#,##0</c:formatCode>
                <c:ptCount val="4"/>
                <c:pt idx="0">
                  <c:v>203429.5380458697</c:v>
                </c:pt>
                <c:pt idx="1">
                  <c:v>270217.89004586963</c:v>
                </c:pt>
                <c:pt idx="2">
                  <c:v>78385.440000000002</c:v>
                </c:pt>
                <c:pt idx="3">
                  <c:v>239075.59199999998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pivot'!$C$4:$C$10</c:f>
              <c:numCache>
                <c:formatCode>#,##0</c:formatCode>
                <c:ptCount val="4"/>
                <c:pt idx="0">
                  <c:v>94759.75169928126</c:v>
                </c:pt>
                <c:pt idx="1">
                  <c:v>93143.939406838675</c:v>
                </c:pt>
                <c:pt idx="2">
                  <c:v>79160.098437826469</c:v>
                </c:pt>
                <c:pt idx="3">
                  <c:v>79160.098437826469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pivot'!$D$4:$D$10</c:f>
              <c:numCache>
                <c:formatCode>#,##0</c:formatCode>
                <c:ptCount val="4"/>
                <c:pt idx="0">
                  <c:v>4641.4750648296767</c:v>
                </c:pt>
                <c:pt idx="1">
                  <c:v>4560.2674097997915</c:v>
                </c:pt>
                <c:pt idx="2">
                  <c:v>3978.4361068035387</c:v>
                </c:pt>
                <c:pt idx="3">
                  <c:v>3978.4361068035387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pivot'!$E$4:$E$10</c:f>
              <c:numCache>
                <c:formatCode>#,##0</c:formatCode>
                <c:ptCount val="4"/>
                <c:pt idx="0">
                  <c:v>287317.39380976727</c:v>
                </c:pt>
                <c:pt idx="1">
                  <c:v>216528.31380976731</c:v>
                </c:pt>
                <c:pt idx="2">
                  <c:v>323339.94</c:v>
                </c:pt>
                <c:pt idx="3">
                  <c:v>254752.68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pivot'!$F$4:$F$10</c:f>
              <c:numCache>
                <c:formatCode>#,##0</c:formatCode>
                <c:ptCount val="4"/>
                <c:pt idx="0">
                  <c:v>33694.81999075169</c:v>
                </c:pt>
                <c:pt idx="1">
                  <c:v>66089.359990751676</c:v>
                </c:pt>
                <c:pt idx="2">
                  <c:v>29394.539999999997</c:v>
                </c:pt>
                <c:pt idx="3">
                  <c:v>76425.803999999989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pivot'!$G$4:$G$10</c:f>
              <c:numCache>
                <c:formatCode>#,##0</c:formatCode>
                <c:ptCount val="4"/>
                <c:pt idx="0">
                  <c:v>17398.989541991894</c:v>
                </c:pt>
                <c:pt idx="1">
                  <c:v>17095.512143016571</c:v>
                </c:pt>
                <c:pt idx="2">
                  <c:v>14867.630905459715</c:v>
                </c:pt>
                <c:pt idx="3">
                  <c:v>14867.630905459715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pivot'!$H$4:$H$10</c:f>
              <c:numCache>
                <c:formatCode>#,##0</c:formatCode>
                <c:ptCount val="4"/>
                <c:pt idx="0">
                  <c:v>50373.137279143528</c:v>
                </c:pt>
                <c:pt idx="1">
                  <c:v>49497.245929057186</c:v>
                </c:pt>
                <c:pt idx="2">
                  <c:v>42910.705542945085</c:v>
                </c:pt>
                <c:pt idx="3">
                  <c:v>42910.705542945085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pivot'!$I$4:$I$10</c:f>
              <c:numCache>
                <c:formatCode>#,##0</c:formatCode>
                <c:ptCount val="4"/>
                <c:pt idx="0">
                  <c:v>1031573.4662270324</c:v>
                </c:pt>
                <c:pt idx="1">
                  <c:v>925588.0262270323</c:v>
                </c:pt>
                <c:pt idx="2">
                  <c:v>956302.3679999999</c:v>
                </c:pt>
                <c:pt idx="3">
                  <c:v>803450.75999999978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pivot'!$J$4:$J$10</c:f>
              <c:numCache>
                <c:formatCode>#,##0</c:formatCode>
                <c:ptCount val="4"/>
                <c:pt idx="0">
                  <c:v>167450.10985792</c:v>
                </c:pt>
                <c:pt idx="1">
                  <c:v>127675.40669382243</c:v>
                </c:pt>
                <c:pt idx="2">
                  <c:v>142581.71872101337</c:v>
                </c:pt>
                <c:pt idx="3">
                  <c:v>109739.61599999999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pivot'!$K$4:$K$10</c:f>
              <c:numCache>
                <c:formatCode>#,##0</c:formatCode>
                <c:ptCount val="4"/>
                <c:pt idx="0">
                  <c:v>64106.424296888508</c:v>
                </c:pt>
                <c:pt idx="1">
                  <c:v>62987.67748814349</c:v>
                </c:pt>
                <c:pt idx="2">
                  <c:v>54808.413032546661</c:v>
                </c:pt>
                <c:pt idx="3">
                  <c:v>54808.413032546654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pivot'!$L$4:$L$10</c:f>
              <c:numCache>
                <c:formatCode>#,##0</c:formatCode>
                <c:ptCount val="4"/>
                <c:pt idx="0">
                  <c:v>178370.4980341382</c:v>
                </c:pt>
                <c:pt idx="1">
                  <c:v>261316.30203413824</c:v>
                </c:pt>
                <c:pt idx="2">
                  <c:v>0</c:v>
                </c:pt>
                <c:pt idx="3">
                  <c:v>68587.260000000009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pivot'!$M$4:$M$10</c:f>
              <c:numCache>
                <c:formatCode>#,##0</c:formatCode>
                <c:ptCount val="4"/>
                <c:pt idx="0">
                  <c:v>7217.327341387786</c:v>
                </c:pt>
                <c:pt idx="1">
                  <c:v>7100.6269621881202</c:v>
                </c:pt>
                <c:pt idx="2">
                  <c:v>5717.2566073328617</c:v>
                </c:pt>
                <c:pt idx="3">
                  <c:v>5717.2566073328617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pivot'!$N$4:$N$10</c:f>
              <c:numCache>
                <c:formatCode>#,##0</c:formatCode>
                <c:ptCount val="4"/>
                <c:pt idx="0">
                  <c:v>148544.87759166464</c:v>
                </c:pt>
                <c:pt idx="1">
                  <c:v>145931.69004824533</c:v>
                </c:pt>
                <c:pt idx="2">
                  <c:v>128022.40962090093</c:v>
                </c:pt>
                <c:pt idx="3">
                  <c:v>128022.40962090091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pivot'!$O$4:$O$10</c:f>
              <c:numCache>
                <c:formatCode>#,##0</c:formatCode>
                <c:ptCount val="4"/>
                <c:pt idx="0">
                  <c:v>30280.062461594764</c:v>
                </c:pt>
                <c:pt idx="1">
                  <c:v>29741.385965430891</c:v>
                </c:pt>
                <c:pt idx="2">
                  <c:v>99941.435999999987</c:v>
                </c:pt>
                <c:pt idx="3">
                  <c:v>78385.440000000002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solidFill>
              <a:srgbClr val="44546A"/>
            </a:solidFill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pivot'!$C$4:$C$10</c:f>
              <c:numCache>
                <c:formatCode>#,##0</c:formatCode>
                <c:ptCount val="4"/>
                <c:pt idx="0">
                  <c:v>5507316.8818720337</c:v>
                </c:pt>
                <c:pt idx="1">
                  <c:v>4683728.0309545286</c:v>
                </c:pt>
                <c:pt idx="2">
                  <c:v>5485230.909845111</c:v>
                </c:pt>
                <c:pt idx="3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pivot'!$D$4:$D$10</c:f>
              <c:numCache>
                <c:formatCode>#,##0</c:formatCode>
                <c:ptCount val="4"/>
                <c:pt idx="0">
                  <c:v>6201344.5662009642</c:v>
                </c:pt>
                <c:pt idx="1">
                  <c:v>6095905.5495661153</c:v>
                </c:pt>
                <c:pt idx="2">
                  <c:v>4460901.710431071</c:v>
                </c:pt>
                <c:pt idx="3">
                  <c:v>4462236.3010922978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pivot'!$E$4:$E$10</c:f>
              <c:numCache>
                <c:formatCode>#,##0</c:formatCode>
                <c:ptCount val="4"/>
                <c:pt idx="0">
                  <c:v>-2913194.2055750103</c:v>
                </c:pt>
                <c:pt idx="1">
                  <c:v>-3425796.0836119633</c:v>
                </c:pt>
                <c:pt idx="2">
                  <c:v>-5597107.7131175324</c:v>
                </c:pt>
                <c:pt idx="3">
                  <c:v>-4972690.4574229093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pivot'!$F$4:$F$10</c:f>
              <c:numCache>
                <c:formatCode>#,##0</c:formatCode>
                <c:ptCount val="4"/>
                <c:pt idx="0">
                  <c:v>-471658.98279996391</c:v>
                </c:pt>
                <c:pt idx="1">
                  <c:v>-267273.42358664621</c:v>
                </c:pt>
                <c:pt idx="2">
                  <c:v>-550526.76458399382</c:v>
                </c:pt>
                <c:pt idx="3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pivot'!$G$4:$G$10</c:f>
              <c:numCache>
                <c:formatCode>#,##0</c:formatCode>
                <c:ptCount val="4"/>
                <c:pt idx="0">
                  <c:v>-1566399.9999999995</c:v>
                </c:pt>
                <c:pt idx="1">
                  <c:v>-326333.33333333326</c:v>
                </c:pt>
                <c:pt idx="2">
                  <c:v>-1696933.333333333</c:v>
                </c:pt>
                <c:pt idx="3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pivot'!$H$4:$H$10</c:f>
              <c:numCache>
                <c:formatCode>#,##0</c:formatCode>
                <c:ptCount val="4"/>
                <c:pt idx="0">
                  <c:v>-649907.96053441195</c:v>
                </c:pt>
                <c:pt idx="1">
                  <c:v>-676404.8893977612</c:v>
                </c:pt>
                <c:pt idx="2">
                  <c:v>-2180836.6522095371</c:v>
                </c:pt>
                <c:pt idx="3">
                  <c:v>-2260664.3992943177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44546A"/>
              </a:solidFill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pivot'!$B$4:$B$10</c:f>
              <c:numCache>
                <c:formatCode>#,##0</c:formatCode>
                <c:ptCount val="4"/>
                <c:pt idx="0">
                  <c:v>6057226.8675646102</c:v>
                </c:pt>
                <c:pt idx="1">
                  <c:v>6033552.4189919382</c:v>
                </c:pt>
                <c:pt idx="2">
                  <c:v>-129545.27456721739</c:v>
                </c:pt>
                <c:pt idx="3">
                  <c:v>49499.479153415828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3392689806488947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PJ'!$B$5:$B$11</c:f>
              <c:numCache>
                <c:formatCode>#,##0.0</c:formatCode>
                <c:ptCount val="4"/>
                <c:pt idx="0">
                  <c:v>14.892272288632798</c:v>
                </c:pt>
                <c:pt idx="1">
                  <c:v>21.127438453286228</c:v>
                </c:pt>
                <c:pt idx="2">
                  <c:v>10.276021090321604</c:v>
                </c:pt>
                <c:pt idx="3">
                  <c:v>20.013296105177979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PJ'!$C$5:$C$11</c:f>
              <c:numCache>
                <c:formatCode>#,##0.0</c:formatCode>
                <c:ptCount val="4"/>
                <c:pt idx="0">
                  <c:v>4.5503946356146914</c:v>
                </c:pt>
                <c:pt idx="1">
                  <c:v>5.3593897439621312</c:v>
                </c:pt>
                <c:pt idx="2">
                  <c:v>6.0880208355368062</c:v>
                </c:pt>
                <c:pt idx="3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PJ'!$D$5:$D$11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PJ'!$E$5:$E$11</c:f>
              <c:numCache>
                <c:formatCode>#,##0.0</c:formatCode>
                <c:ptCount val="4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PJ'!$F$5:$F$11</c:f>
              <c:numCache>
                <c:formatCode>#,##0.0</c:formatCode>
                <c:ptCount val="4"/>
                <c:pt idx="0">
                  <c:v>9.2865089569685129</c:v>
                </c:pt>
                <c:pt idx="1">
                  <c:v>2.8554559936120825</c:v>
                </c:pt>
                <c:pt idx="2">
                  <c:v>1.7637268968478974</c:v>
                </c:pt>
                <c:pt idx="3">
                  <c:v>1.8180875246518127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PJ'!$G$5:$G$11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PJ'!$H$5:$H$11</c:f>
              <c:numCache>
                <c:formatCode>#,##0.0</c:formatCode>
                <c:ptCount val="4"/>
                <c:pt idx="0">
                  <c:v>4.612600773620283</c:v>
                </c:pt>
                <c:pt idx="1">
                  <c:v>3.9188708150203651</c:v>
                </c:pt>
                <c:pt idx="2">
                  <c:v>3.7569119002626761</c:v>
                </c:pt>
                <c:pt idx="3">
                  <c:v>4.3091976198127346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PJ'!$I$5:$I$11</c:f>
              <c:numCache>
                <c:formatCode>#,##0.0</c:formatCode>
                <c:ptCount val="4"/>
                <c:pt idx="0">
                  <c:v>0</c:v>
                </c:pt>
                <c:pt idx="1">
                  <c:v>4.6124319999999992</c:v>
                </c:pt>
                <c:pt idx="2">
                  <c:v>0</c:v>
                </c:pt>
                <c:pt idx="3">
                  <c:v>1.4413849999999999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PJ'!$J$5:$J$11</c:f>
              <c:numCache>
                <c:formatCode>#,##0.0</c:formatCode>
                <c:ptCount val="4"/>
                <c:pt idx="0">
                  <c:v>0.11923457768560886</c:v>
                </c:pt>
                <c:pt idx="1">
                  <c:v>0.15417533765718927</c:v>
                </c:pt>
                <c:pt idx="2">
                  <c:v>2.4697056400855601E-2</c:v>
                </c:pt>
                <c:pt idx="3">
                  <c:v>0.12212607406074069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PJ'!$K$5:$K$11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PJ'!$L$5:$L$11</c:f>
              <c:numCache>
                <c:formatCode>#,##0.0</c:formatCode>
                <c:ptCount val="4"/>
                <c:pt idx="0">
                  <c:v>1.0075925070623333</c:v>
                </c:pt>
                <c:pt idx="1">
                  <c:v>1.7284232885336528</c:v>
                </c:pt>
                <c:pt idx="2">
                  <c:v>0.42231957525140529</c:v>
                </c:pt>
                <c:pt idx="3">
                  <c:v>0.75410839768439053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PJ'!$M$5:$M$11</c:f>
              <c:numCache>
                <c:formatCode>#,##0.0</c:formatCode>
                <c:ptCount val="4"/>
                <c:pt idx="0">
                  <c:v>15.723272303760728</c:v>
                </c:pt>
                <c:pt idx="1">
                  <c:v>8.9351415839125394</c:v>
                </c:pt>
                <c:pt idx="2">
                  <c:v>18.741037268423657</c:v>
                </c:pt>
                <c:pt idx="3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PJ'!$N$5:$N$11</c:f>
              <c:numCache>
                <c:formatCode>#,##0.0</c:formatCode>
                <c:ptCount val="4"/>
                <c:pt idx="0">
                  <c:v>45.128720147879498</c:v>
                </c:pt>
                <c:pt idx="1">
                  <c:v>44.952059224144797</c:v>
                </c:pt>
                <c:pt idx="2">
                  <c:v>49.62551926634071</c:v>
                </c:pt>
                <c:pt idx="3">
                  <c:v>49.142255338626718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PJ'!$O$5:$O$11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PJ'!$P$5:$P$11</c:f>
              <c:numCache>
                <c:formatCode>#,##0.0</c:formatCode>
                <c:ptCount val="4"/>
                <c:pt idx="0">
                  <c:v>7.3789649812467619</c:v>
                </c:pt>
                <c:pt idx="1">
                  <c:v>6.7752743286365096</c:v>
                </c:pt>
                <c:pt idx="2">
                  <c:v>6.6839322256903859</c:v>
                </c:pt>
                <c:pt idx="3">
                  <c:v>5.8121149788612056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PJ'!$Q$5:$Q$11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PJ'!$R$5:$R$11</c:f>
              <c:numCache>
                <c:formatCode>#,##0.0</c:formatCode>
                <c:ptCount val="4"/>
                <c:pt idx="0">
                  <c:v>23.22239999999999</c:v>
                </c:pt>
                <c:pt idx="1">
                  <c:v>4.8379999999999992</c:v>
                </c:pt>
                <c:pt idx="2">
                  <c:v>25.157599999999992</c:v>
                </c:pt>
                <c:pt idx="3">
                  <c:v>9.6759999999999948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PJ'!$S$5:$S$11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423977896454531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3.951047127829578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TS'!$B$4:$B$10</c:f>
              <c:numCache>
                <c:formatCode>#,##0</c:formatCode>
                <c:ptCount val="4"/>
                <c:pt idx="0">
                  <c:v>1194753.6875528663</c:v>
                </c:pt>
                <c:pt idx="1">
                  <c:v>1163069.4443068176</c:v>
                </c:pt>
                <c:pt idx="2">
                  <c:v>1243092.4748212171</c:v>
                </c:pt>
                <c:pt idx="3">
                  <c:v>1174348.2607910959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TS'!$C$4:$C$10</c:f>
              <c:numCache>
                <c:formatCode>#,##0</c:formatCode>
                <c:ptCount val="4"/>
                <c:pt idx="0">
                  <c:v>2258106.9888264169</c:v>
                </c:pt>
                <c:pt idx="1">
                  <c:v>1444319.4903634591</c:v>
                </c:pt>
                <c:pt idx="2">
                  <c:v>2587779.5754546919</c:v>
                </c:pt>
                <c:pt idx="3">
                  <c:v>1590506.9980356379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TS'!$D$4:$D$10</c:f>
              <c:numCache>
                <c:formatCode>#,##0</c:formatCode>
                <c:ptCount val="4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TS'!$E$4:$E$10</c:f>
              <c:numCache>
                <c:formatCode>#,##0</c:formatCode>
                <c:ptCount val="4"/>
                <c:pt idx="0">
                  <c:v>979281.54647358786</c:v>
                </c:pt>
                <c:pt idx="1">
                  <c:v>301341.05223171273</c:v>
                </c:pt>
                <c:pt idx="2">
                  <c:v>183517.13631810129</c:v>
                </c:pt>
                <c:pt idx="3">
                  <c:v>231279.14109548816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TS'!$F$4:$F$10</c:f>
              <c:numCache>
                <c:formatCode>#,##0</c:formatCode>
                <c:ptCount val="4"/>
                <c:pt idx="0">
                  <c:v>387069.34046920342</c:v>
                </c:pt>
                <c:pt idx="1">
                  <c:v>1003388.751348896</c:v>
                </c:pt>
                <c:pt idx="2">
                  <c:v>312819.72155873431</c:v>
                </c:pt>
                <c:pt idx="3">
                  <c:v>568388.64590456628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TS'!$G$4:$G$10</c:f>
              <c:numCache>
                <c:formatCode>#,##0</c:formatCode>
                <c:ptCount val="4"/>
                <c:pt idx="0">
                  <c:v>19927.784571410946</c:v>
                </c:pt>
                <c:pt idx="1">
                  <c:v>25767.465903708511</c:v>
                </c:pt>
                <c:pt idx="2">
                  <c:v>4127.6417383045564</c:v>
                </c:pt>
                <c:pt idx="3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TS'!$H$4:$H$10</c:f>
              <c:numCache>
                <c:formatCode>#,##0</c:formatCode>
                <c:ptCount val="4"/>
                <c:pt idx="0">
                  <c:v>1501501.6350903469</c:v>
                </c:pt>
                <c:pt idx="1">
                  <c:v>1498561.7341851683</c:v>
                </c:pt>
                <c:pt idx="2">
                  <c:v>1661867.4719710448</c:v>
                </c:pt>
                <c:pt idx="3">
                  <c:v>1649494.2586561085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4.789941257281307E-2"/>
          <c:w val="0.42593493913125857"/>
          <c:h val="0.70242656888700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DFDA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solidFill>
              <a:srgbClr val="FF656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8EA9DB"/>
          </a:solidFill>
          <a:ln>
            <a:solidFill>
              <a:srgbClr val="8EA9D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FFFF99"/>
          </a:solidFill>
          <a:ln>
            <a:noFill/>
          </a:ln>
          <a:effectLst/>
        </c:spPr>
      </c:pivotFmt>
      <c:pivotFmt>
        <c:idx val="277"/>
        <c:spPr>
          <a:solidFill>
            <a:srgbClr val="3399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Import!$C$5:$C$14</c:f>
              <c:numCache>
                <c:formatCode>#,##0</c:formatCode>
                <c:ptCount val="6"/>
                <c:pt idx="0">
                  <c:v>370459.67448149773</c:v>
                </c:pt>
                <c:pt idx="1">
                  <c:v>370459.67448149773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Import!$D$5:$D$14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22517.780101574506</c:v>
                </c:pt>
                <c:pt idx="3">
                  <c:v>19237.027192550144</c:v>
                </c:pt>
                <c:pt idx="4">
                  <c:v>13301.200339069677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Import!$E$5:$E$14</c:f>
              <c:numCache>
                <c:formatCode>#,##0</c:formatCode>
                <c:ptCount val="6"/>
                <c:pt idx="0">
                  <c:v>420629.98984142789</c:v>
                </c:pt>
                <c:pt idx="1">
                  <c:v>420629.98984142789</c:v>
                </c:pt>
                <c:pt idx="2">
                  <c:v>441368.4647574416</c:v>
                </c:pt>
                <c:pt idx="3">
                  <c:v>444626.78664658521</c:v>
                </c:pt>
                <c:pt idx="4">
                  <c:v>465853.44584960933</c:v>
                </c:pt>
                <c:pt idx="5">
                  <c:v>470538.72721837705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Import!$F$5:$F$14</c:f>
              <c:numCache>
                <c:formatCode>#,##0</c:formatCode>
                <c:ptCount val="6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Import!$G$5:$G$14</c:f>
              <c:numCache>
                <c:formatCode>#,##0</c:formatCode>
                <c:ptCount val="6"/>
                <c:pt idx="0">
                  <c:v>203649.62100550608</c:v>
                </c:pt>
                <c:pt idx="1">
                  <c:v>203649.62100550608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Import!$H$5:$H$14</c:f>
              <c:numCache>
                <c:formatCode>#,##0</c:formatCode>
                <c:ptCount val="6"/>
                <c:pt idx="0">
                  <c:v>5421074.2654714445</c:v>
                </c:pt>
                <c:pt idx="1">
                  <c:v>5421074.2654714445</c:v>
                </c:pt>
                <c:pt idx="2">
                  <c:v>2710537.1327357218</c:v>
                </c:pt>
                <c:pt idx="3">
                  <c:v>2321763.5049546235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Import!$I$5:$I$14</c:f>
              <c:numCache>
                <c:formatCode>#,##0</c:formatCode>
                <c:ptCount val="6"/>
                <c:pt idx="0">
                  <c:v>282332.03034110228</c:v>
                </c:pt>
                <c:pt idx="1">
                  <c:v>282332.03034110228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Teknologioptimist</c:v>
                  </c:pt>
                  <c:pt idx="1">
                    <c:v>Teknologiuafhaengig</c:v>
                  </c:pt>
                  <c:pt idx="2">
                    <c:v>Teknologioptimist</c:v>
                  </c:pt>
                  <c:pt idx="3">
                    <c:v>Teknologiuafhaengig</c:v>
                  </c:pt>
                  <c:pt idx="4">
                    <c:v>Teknologioptimist</c:v>
                  </c:pt>
                  <c:pt idx="5">
                    <c:v>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Import!$J$5:$J$14</c:f>
              <c:numCache>
                <c:formatCode>#,##0</c:formatCode>
                <c:ptCount val="6"/>
                <c:pt idx="0">
                  <c:v>944815.08868008247</c:v>
                </c:pt>
                <c:pt idx="1">
                  <c:v>944815.08868008247</c:v>
                </c:pt>
                <c:pt idx="2">
                  <c:v>885192.58896557917</c:v>
                </c:pt>
                <c:pt idx="3">
                  <c:v>1321939.1550074141</c:v>
                </c:pt>
                <c:pt idx="4">
                  <c:v>696374.77741708257</c:v>
                </c:pt>
                <c:pt idx="5">
                  <c:v>1504173.0529964124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pivot!CO2-all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GB" sz="1900"/>
              <a:t>Udledning af drivhusgasser</a:t>
            </a:r>
            <a:endParaRPr lang="en-DK" sz="1900"/>
          </a:p>
        </c:rich>
      </c:tx>
      <c:layout>
        <c:manualLayout>
          <c:xMode val="edge"/>
          <c:yMode val="edge"/>
          <c:x val="0.15074875910992142"/>
          <c:y val="1.66073518894534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bg2">
              <a:lumMod val="75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noFill/>
            <a:round/>
          </a:ln>
          <a:effectLst/>
        </c:spPr>
        <c:marker>
          <c:symbol val="circle"/>
          <c:size val="7"/>
          <c:spPr>
            <a:solidFill>
              <a:schemeClr val="bg2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noFill/>
            <a:round/>
          </a:ln>
          <a:effectLst/>
        </c:spPr>
        <c:marker>
          <c:symbol val="circle"/>
          <c:size val="7"/>
          <c:spPr>
            <a:solidFill>
              <a:schemeClr val="bg2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</c:dLbl>
      </c:pivotFmt>
      <c:pivotFmt>
        <c:idx val="46"/>
        <c:spPr>
          <a:ln w="28575" cap="rnd">
            <a:noFill/>
            <a:round/>
          </a:ln>
          <a:effectLst/>
        </c:spPr>
        <c:marker>
          <c:symbol val="circle"/>
          <c:size val="7"/>
          <c:spPr>
            <a:solidFill>
              <a:schemeClr val="bg2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</c:dLbl>
      </c:pivotFmt>
    </c:pivotFmts>
    <c:plotArea>
      <c:layout>
        <c:manualLayout>
          <c:layoutTarget val="inner"/>
          <c:xMode val="edge"/>
          <c:yMode val="edge"/>
          <c:x val="0.28643242179607115"/>
          <c:y val="0.15332318266902031"/>
          <c:w val="0.41947291346758597"/>
          <c:h val="0.50047941377918359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pivot'!$C$4:$C$10</c:f>
              <c:numCache>
                <c:formatCode>#,##0</c:formatCode>
                <c:ptCount val="4"/>
                <c:pt idx="0">
                  <c:v>5507316.8818720337</c:v>
                </c:pt>
                <c:pt idx="1">
                  <c:v>4683728.0309545286</c:v>
                </c:pt>
                <c:pt idx="2">
                  <c:v>5485230.909845111</c:v>
                </c:pt>
                <c:pt idx="3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5-4678-9144-4320D91CF1AD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pivot'!$D$4:$D$10</c:f>
              <c:numCache>
                <c:formatCode>#,##0</c:formatCode>
                <c:ptCount val="4"/>
                <c:pt idx="0">
                  <c:v>6201344.5662009642</c:v>
                </c:pt>
                <c:pt idx="1">
                  <c:v>6095905.5495661153</c:v>
                </c:pt>
                <c:pt idx="2">
                  <c:v>4460901.710431071</c:v>
                </c:pt>
                <c:pt idx="3">
                  <c:v>4462236.3010922978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75-4678-9144-4320D91CF1AD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pivot'!$E$4:$E$10</c:f>
              <c:numCache>
                <c:formatCode>#,##0</c:formatCode>
                <c:ptCount val="4"/>
                <c:pt idx="0">
                  <c:v>-2913194.2055750103</c:v>
                </c:pt>
                <c:pt idx="1">
                  <c:v>-3425796.0836119633</c:v>
                </c:pt>
                <c:pt idx="2">
                  <c:v>-5597107.7131175324</c:v>
                </c:pt>
                <c:pt idx="3">
                  <c:v>-4972690.4574229093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75-4678-9144-4320D91CF1AD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pivot'!$F$4:$F$10</c:f>
              <c:numCache>
                <c:formatCode>#,##0</c:formatCode>
                <c:ptCount val="4"/>
                <c:pt idx="0">
                  <c:v>-471658.98279996391</c:v>
                </c:pt>
                <c:pt idx="1">
                  <c:v>-267273.42358664621</c:v>
                </c:pt>
                <c:pt idx="2">
                  <c:v>-550526.76458399382</c:v>
                </c:pt>
                <c:pt idx="3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75-4678-9144-4320D91CF1AD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pivot'!$G$4:$G$10</c:f>
              <c:numCache>
                <c:formatCode>#,##0</c:formatCode>
                <c:ptCount val="4"/>
                <c:pt idx="0">
                  <c:v>-1566399.9999999995</c:v>
                </c:pt>
                <c:pt idx="1">
                  <c:v>-326333.33333333326</c:v>
                </c:pt>
                <c:pt idx="2">
                  <c:v>-1696933.333333333</c:v>
                </c:pt>
                <c:pt idx="3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75-4678-9144-4320D91CF1AD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pivot'!$H$4:$H$10</c:f>
              <c:numCache>
                <c:formatCode>#,##0</c:formatCode>
                <c:ptCount val="4"/>
                <c:pt idx="0">
                  <c:v>-649907.96053441195</c:v>
                </c:pt>
                <c:pt idx="1">
                  <c:v>-676404.8893977612</c:v>
                </c:pt>
                <c:pt idx="2">
                  <c:v>-2180836.6522095371</c:v>
                </c:pt>
                <c:pt idx="3">
                  <c:v>-2260664.3992943177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75-4678-9144-4320D91C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bg2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'CO2e-udledning pivot'!$A$4:$A$10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Teknologi-uafhængig</c:v>
                  </c:pt>
                  <c:pt idx="2">
                    <c:v>Teknologi-optimist</c:v>
                  </c:pt>
                  <c:pt idx="3">
                    <c:v>Teknologi-uafhængig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pivot'!$B$4:$B$10</c:f>
              <c:numCache>
                <c:formatCode>#,##0</c:formatCode>
                <c:ptCount val="4"/>
                <c:pt idx="0">
                  <c:v>6057226.8675646102</c:v>
                </c:pt>
                <c:pt idx="1">
                  <c:v>6033552.4189919382</c:v>
                </c:pt>
                <c:pt idx="2">
                  <c:v>-129545.27456721739</c:v>
                </c:pt>
                <c:pt idx="3">
                  <c:v>49499.479153415828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F75-4678-9144-4320D91CF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r>
                  <a:rPr lang="en-GB" sz="1050"/>
                  <a:t>Mio. ton CO2-ækvivalenter</a:t>
                </a:r>
              </a:p>
            </c:rich>
          </c:tx>
          <c:layout>
            <c:manualLayout>
              <c:xMode val="edge"/>
              <c:yMode val="edge"/>
              <c:x val="0.15267334392816009"/>
              <c:y val="8.885699359116276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out"/>
        <c:minorTickMark val="none"/>
        <c:tickLblPos val="nextTo"/>
        <c:crossAx val="94349774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237551916030919"/>
          <c:y val="0.19299195519354903"/>
          <c:w val="0.13749714903213453"/>
          <c:h val="0.417508666878533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latin typeface="Arial Nova Light" panose="020B0304020202020204" pitchFamily="34" charset="0"/>
        </a:defRPr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notat.xlsm]CO2e-udledning pivot 2019!CO2-2019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bg2">
              <a:lumMod val="75000"/>
            </a:scheme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7"/>
          <c:spPr>
            <a:solidFill>
              <a:schemeClr val="bg2"/>
            </a:solidFill>
            <a:ln w="12700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2575499407545936"/>
          <c:y val="0.1047789586491881"/>
          <c:w val="0.3136196399972862"/>
          <c:h val="0.5249214350200447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DF-4F09-BAD7-518E3A780BF4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DF-4F09-BAD7-518E3A780BF4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DF-4F09-BAD7-518E3A780BF4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DF-4F09-BAD7-518E3A780BF4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DF-4F09-BAD7-518E3A780BF4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DF-4F09-BAD7-518E3A780BF4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4DF-4F09-BAD7-518E3A780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7"/>
            <c:spPr>
              <a:solidFill>
                <a:schemeClr val="bg2"/>
              </a:solidFill>
              <a:ln w="12700">
                <a:solidFill>
                  <a:srgbClr val="44546A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endParaRPr lang="en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4DF-4F09-BAD7-518E3A780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15000000"/>
          <c:min val="-1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pivot!Areal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r>
              <a:rPr lang="en-GB" sz="1900">
                <a:effectLst/>
                <a:latin typeface="Arial Nova Light" panose="020B0304020202020204" pitchFamily="34" charset="0"/>
              </a:rPr>
              <a:t>Danmarks arealfordeling</a:t>
            </a:r>
            <a:endParaRPr lang="en-DK" sz="1900">
              <a:effectLst/>
              <a:latin typeface="Arial Nova Light" panose="020B0304020202020204" pitchFamily="34" charset="0"/>
            </a:endParaRPr>
          </a:p>
        </c:rich>
      </c:tx>
      <c:layout>
        <c:manualLayout>
          <c:xMode val="edge"/>
          <c:yMode val="edge"/>
          <c:x val="5.5183618184738013E-2"/>
          <c:y val="7.415109988734974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  <a:alpha val="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C9C9C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9"/>
        <c:spPr>
          <a:solidFill>
            <a:srgbClr val="A9D08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1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32"/>
        <c:spPr>
          <a:solidFill>
            <a:srgbClr val="C9C9C9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43905083-5B34-438C-8FF9-E98D8A6B8948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3"/>
        <c:spPr>
          <a:solidFill>
            <a:srgbClr val="C9C9C9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DB63E713-5EEA-47A8-BC5C-EBD352288E12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4"/>
        <c:spPr>
          <a:solidFill>
            <a:srgbClr val="C9C9C9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C2AD3AB-6AFB-49EF-A7A2-4E5152A16DF7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5"/>
        <c:spPr>
          <a:solidFill>
            <a:srgbClr val="C9C9C9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8A34488-B162-4922-9347-FA8563EAFE69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6"/>
        <c:spPr>
          <a:solidFill>
            <a:srgbClr val="A9D08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7D567F7-10E3-4F27-A8F5-7811EEA2ED9B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7"/>
        <c:spPr>
          <a:solidFill>
            <a:srgbClr val="A9D08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6CDDAE9-185F-4B62-91EC-B730BD90FB3B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8"/>
        <c:spPr>
          <a:solidFill>
            <a:srgbClr val="A9D08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5A8740EC-2BAC-436E-BF36-4D48ED0EB55A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39"/>
        <c:spPr>
          <a:solidFill>
            <a:srgbClr val="A9D08E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AD04769-EECA-4D7B-8236-3C72B809DAF1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0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75D92F74-139C-40D8-8709-1102D131B4BE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1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00E51681-C9CC-4FDE-BD26-CDA188B29B25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C48482A2-AF32-4226-B634-03ED1FD85B66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E93B04C-93AE-43BC-8351-43026402BEF1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4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FA19E1AF-FBBA-4C4D-AE04-C15EFCD8158D}" type="CELLRANGE">
                  <a:rPr lang="en-US"/>
                  <a:pPr>
                    <a:defRPr>
                      <a:solidFill>
                        <a:schemeClr val="bg1"/>
                      </a:solidFill>
                    </a:defRPr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5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D9292FDD-2725-4334-AF92-BD9D125DFD01}" type="CELLRANGE">
                  <a:rPr lang="en-US"/>
                  <a:pPr>
                    <a:defRPr>
                      <a:solidFill>
                        <a:schemeClr val="bg1"/>
                      </a:solidFill>
                    </a:defRPr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6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29E76B26-AA0F-4550-85CD-6CB26C10C813}" type="CELLRANGE">
                  <a:rPr lang="en-US"/>
                  <a:pPr>
                    <a:defRPr>
                      <a:solidFill>
                        <a:schemeClr val="bg1"/>
                      </a:solidFill>
                    </a:defRPr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47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787C2360-6D3C-4F0E-A742-458C8388DD97}" type="CELLRANGE">
                  <a:rPr lang="en-US"/>
                  <a:pPr>
                    <a:defRPr>
                      <a:solidFill>
                        <a:schemeClr val="bg1"/>
                      </a:solidFill>
                    </a:defRPr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429279510618842"/>
          <c:y val="0.16461322014875235"/>
          <c:w val="0.51416690861552761"/>
          <c:h val="0.503834799516278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Resume!$AL$32:$AL$35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  <a:alpha val="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Resume!$AL$32:$AL$35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Resume!$AL$32:$AL$35</c:f>
              <c:numCache>
                <c:formatCode>#,##0</c:formatCode>
                <c:ptCount val="4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07-476E-9320-053B7B5DD88A}"/>
            </c:ext>
          </c:extLst>
        </c:ser>
        <c:ser>
          <c:idx val="1"/>
          <c:order val="1"/>
          <c:tx>
            <c:strRef>
              <c:f>Resume!$AL$32:$AL$35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3905083-5B34-438C-8FF9-E98D8A6B8948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07-476E-9320-053B7B5DD8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B63E713-5EEA-47A8-BC5C-EBD352288E12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07-476E-9320-053B7B5DD8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2AD3AB-6AFB-49EF-A7A2-4E5152A16DF7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07-476E-9320-053B7B5DD8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A34488-B162-4922-9347-FA8563EAFE69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07-476E-9320-053B7B5DD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multiLvlStrRef>
              <c:f>Resume!$AL$32:$AL$35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Resume!$AL$32:$AL$35</c:f>
              <c:numCache>
                <c:formatCode>#,##0</c:formatCode>
                <c:ptCount val="4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Resume!$AI$32:$AI$35</c15:f>
                <c15:dlblRangeCache>
                  <c:ptCount val="4"/>
                  <c:pt idx="0">
                    <c:v>14%</c:v>
                  </c:pt>
                  <c:pt idx="1">
                    <c:v>14%</c:v>
                  </c:pt>
                  <c:pt idx="2">
                    <c:v>14%</c:v>
                  </c:pt>
                  <c:pt idx="3">
                    <c:v>14%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3907-476E-9320-053B7B5DD88A}"/>
            </c:ext>
          </c:extLst>
        </c:ser>
        <c:ser>
          <c:idx val="2"/>
          <c:order val="2"/>
          <c:tx>
            <c:strRef>
              <c:f>Resume!$AL$32:$AL$35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7D567F7-10E3-4F27-A8F5-7811EEA2ED9B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07-476E-9320-053B7B5DD8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CDDAE9-185F-4B62-91EC-B730BD90FB3B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07-476E-9320-053B7B5DD8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8740EC-2BAC-436E-BF36-4D48ED0EB55A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07-476E-9320-053B7B5DD8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D04769-EECA-4D7B-8236-3C72B809DAF1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07-476E-9320-053B7B5DD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multiLvlStrRef>
              <c:f>Resume!$AL$32:$AL$35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Resume!$AL$32:$AL$35</c:f>
              <c:numCache>
                <c:formatCode>#,##0</c:formatCode>
                <c:ptCount val="4"/>
                <c:pt idx="0">
                  <c:v>2318369.9999999995</c:v>
                </c:pt>
                <c:pt idx="1">
                  <c:v>2278370</c:v>
                </c:pt>
                <c:pt idx="2">
                  <c:v>1959636</c:v>
                </c:pt>
                <c:pt idx="3">
                  <c:v>1959636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Resume!$AJ$32:$AJ$35</c15:f>
                <c15:dlblRangeCache>
                  <c:ptCount val="4"/>
                  <c:pt idx="0">
                    <c:v>54%</c:v>
                  </c:pt>
                  <c:pt idx="1">
                    <c:v>53%</c:v>
                  </c:pt>
                  <c:pt idx="2">
                    <c:v>46%</c:v>
                  </c:pt>
                  <c:pt idx="3">
                    <c:v>46%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3907-476E-9320-053B7B5DD88A}"/>
            </c:ext>
          </c:extLst>
        </c:ser>
        <c:ser>
          <c:idx val="3"/>
          <c:order val="3"/>
          <c:tx>
            <c:strRef>
              <c:f>Resume!$AL$32:$AL$35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5D92F74-139C-40D8-8709-1102D131B4BE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07-476E-9320-053B7B5DD8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0E51681-C9CC-4FDE-BD26-CDA188B29B25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07-476E-9320-053B7B5DD8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8482A2-AF32-4226-B634-03ED1FD85B66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07-476E-9320-053B7B5DD8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E93B04C-93AE-43BC-8351-43026402BEF1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07-476E-9320-053B7B5DD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multiLvlStrRef>
              <c:f>Resume!$AL$32:$AL$35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Resume!$AL$32:$AL$35</c:f>
              <c:numCache>
                <c:formatCode>#,##0</c:formatCode>
                <c:ptCount val="4"/>
                <c:pt idx="0">
                  <c:v>572920.00000000012</c:v>
                </c:pt>
                <c:pt idx="1">
                  <c:v>572920</c:v>
                </c:pt>
                <c:pt idx="2">
                  <c:v>651654.00000000012</c:v>
                </c:pt>
                <c:pt idx="3">
                  <c:v>651654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Resume!$AK$32:$AK$35</c15:f>
                <c15:dlblRangeCache>
                  <c:ptCount val="4"/>
                  <c:pt idx="0">
                    <c:v>13%</c:v>
                  </c:pt>
                  <c:pt idx="1">
                    <c:v>13%</c:v>
                  </c:pt>
                  <c:pt idx="2">
                    <c:v>15%</c:v>
                  </c:pt>
                  <c:pt idx="3">
                    <c:v>15%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3907-476E-9320-053B7B5DD88A}"/>
            </c:ext>
          </c:extLst>
        </c:ser>
        <c:ser>
          <c:idx val="4"/>
          <c:order val="4"/>
          <c:tx>
            <c:strRef>
              <c:f>Resume!$AL$32:$AL$35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A19E1AF-FBBA-4C4D-AE04-C15EFCD8158D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07-476E-9320-053B7B5DD8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292FDD-2725-4334-AF92-BD9D125DFD01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07-476E-9320-053B7B5DD8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E76B26-AA0F-4550-85CD-6CB26C10C813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07-476E-9320-053B7B5DD8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7C2360-6D3C-4F0E-A742-458C8388DD97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07-476E-9320-053B7B5DD8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multiLvlStrRef>
              <c:f>Resume!$AL$32:$AL$35</c:f>
              <c:multiLvlStrCache>
                <c:ptCount val="4"/>
                <c:lvl>
                  <c:pt idx="0">
                    <c:v>Teknologi-optimist</c:v>
                  </c:pt>
                  <c:pt idx="1">
                    <c:v>Teknologi-uafhaengig</c:v>
                  </c:pt>
                  <c:pt idx="2">
                    <c:v>Teknologi-optimist</c:v>
                  </c:pt>
                  <c:pt idx="3">
                    <c:v>Teknologi-uafhaengig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Resume!$AL$32:$AL$35</c:f>
              <c:numCache>
                <c:formatCode>#,##0</c:formatCode>
                <c:ptCount val="4"/>
                <c:pt idx="0">
                  <c:v>721900</c:v>
                </c:pt>
                <c:pt idx="1">
                  <c:v>761900</c:v>
                </c:pt>
                <c:pt idx="2">
                  <c:v>1001900</c:v>
                </c:pt>
                <c:pt idx="3">
                  <c:v>1001900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Resume!$AL$32:$AL$35</c15:f>
                <c15:dlblRangeCache>
                  <c:ptCount val="4"/>
                  <c:pt idx="0">
                    <c:v>17%</c:v>
                  </c:pt>
                  <c:pt idx="1">
                    <c:v>18%</c:v>
                  </c:pt>
                  <c:pt idx="2">
                    <c:v>23%</c:v>
                  </c:pt>
                  <c:pt idx="3">
                    <c:v>23%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3907-476E-9320-053B7B5DD8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 Light" panose="020B0304020202020204" pitchFamily="34" charset="0"/>
                    <a:ea typeface="+mn-ea"/>
                    <a:cs typeface="+mn-cs"/>
                  </a:defRPr>
                </a:pPr>
                <a:r>
                  <a:rPr lang="en-GB">
                    <a:latin typeface="Arial Nova Light" panose="020B0304020202020204" pitchFamily="34" charset="0"/>
                  </a:rPr>
                  <a:t>Tusind</a:t>
                </a:r>
                <a:r>
                  <a:rPr lang="en-GB" baseline="0">
                    <a:latin typeface="Arial Nova Light" panose="020B0304020202020204" pitchFamily="34" charset="0"/>
                  </a:rPr>
                  <a:t> hektar</a:t>
                </a:r>
                <a:endParaRPr lang="en-GB">
                  <a:latin typeface="Arial Nova Light" panose="020B03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5.6029468979262469E-2"/>
              <c:y val="9.364411045214941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 Light" panose="020B0304020202020204" pitchFamily="34" charset="0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crossAx val="83583529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84644895476985"/>
          <c:y val="0.18928460915634637"/>
          <c:w val="0.17139347262943821"/>
          <c:h val="0.414890486609124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 Light" panose="020B0304020202020204" pitchFamily="34" charset="0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 - til notat.xlsm]Arealanvendelse pivot 2019!Areal2019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  <a:alpha val="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4"/>
        <c:spPr>
          <a:solidFill>
            <a:schemeClr val="accent4">
              <a:lumMod val="75000"/>
            </a:scheme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1"/>
            </c:ext>
          </c:extLst>
        </c:dLbl>
      </c:pivotFmt>
      <c:pivotFmt>
        <c:idx val="25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44FBB8C-AA60-4B7C-901C-5217328F6F7B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6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3AC31768-9095-410A-B0F7-390191849755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7"/>
        <c:spPr>
          <a:solidFill>
            <a:schemeClr val="accent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F776E8D6-9B3E-4363-906B-A632EEC66D35}" type="CELLRANGE">
                  <a:rPr lang="en-US"/>
                  <a:pPr>
                    <a:defRPr/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  <c:pivotFmt>
        <c:idx val="28"/>
        <c:spPr>
          <a:solidFill>
            <a:schemeClr val="accent4">
              <a:lumMod val="75000"/>
            </a:schemeClr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fld id="{AAC98F4A-65CF-4BD1-A71C-14285B49E34C}" type="CELLRANGE">
                  <a:rPr lang="en-US"/>
                  <a:pPr>
                    <a:defRPr>
                      <a:solidFill>
                        <a:schemeClr val="bg1"/>
                      </a:solidFill>
                    </a:defRPr>
                  </a:pPr>
                  <a:t>[CELLRANGE]</a:t>
                </a:fld>
                <a:endParaRPr lang="en-DK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xForSave val="1"/>
              <c15:showDataLabelsRange val="1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30733019237391446"/>
          <c:y val="9.1428978382290069E-2"/>
          <c:w val="0.4509576495340672"/>
          <c:h val="0.573567396542239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  <a:alpha val="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F-4F59-B9CB-A4ED13DD1424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44FBB8C-AA60-4B7C-901C-5217328F6F7B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AF-4F59-B9CB-A4ED13DD14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Resume!$AI$31</c15:f>
                <c15:dlblRangeCache>
                  <c:ptCount val="1"/>
                  <c:pt idx="0">
                    <c:v>14%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9AF-4F59-B9CB-A4ED13DD1424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AC31768-9095-410A-B0F7-390191849755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AF-4F59-B9CB-A4ED13DD14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Resume!$AJ$31</c15:f>
                <c15:dlblRangeCache>
                  <c:ptCount val="1"/>
                  <c:pt idx="0">
                    <c:v>60%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9AF-4F59-B9CB-A4ED13DD1424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776E8D6-9B3E-4363-906B-A632EEC66D35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AF-4F59-B9CB-A4ED13DD14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Resume!$AK$31</c15:f>
                <c15:dlblRangeCache>
                  <c:ptCount val="1"/>
                  <c:pt idx="0">
                    <c:v>11%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9AF-4F59-B9CB-A4ED13DD1424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AC98F4A-65CF-4BD1-A71C-14285B49E34C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AF-4F59-B9CB-A4ED13DD14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Resume!$AL$31</c15:f>
                <c15:dlblRangeCache>
                  <c:ptCount val="1"/>
                  <c:pt idx="0">
                    <c:v>13%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9AF-4F59-B9CB-A4ED13DD142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 Light" panose="020B0304020202020204" pitchFamily="34" charset="0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0801" y="0"/>
          <a:ext cx="14499358" cy="5230091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350164"/>
          <a:ext cx="16246186" cy="8933871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4049663"/>
          <a:ext cx="16559645" cy="6160654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20429146"/>
          <a:ext cx="16042985" cy="8623300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7406" y="28773459"/>
          <a:ext cx="15285027" cy="6806334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0</xdr:colOff>
      <xdr:row>69</xdr:row>
      <xdr:rowOff>67234</xdr:rowOff>
    </xdr:from>
    <xdr:to>
      <xdr:col>45</xdr:col>
      <xdr:colOff>78441</xdr:colOff>
      <xdr:row>102</xdr:row>
      <xdr:rowOff>76200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21A40287-2964-469C-9FFF-A5EF4A34E675}"/>
            </a:ext>
          </a:extLst>
        </xdr:cNvPr>
        <xdr:cNvGrpSpPr/>
      </xdr:nvGrpSpPr>
      <xdr:grpSpPr>
        <a:xfrm>
          <a:off x="17930091" y="13613227"/>
          <a:ext cx="10122986" cy="6482791"/>
          <a:chOff x="8823383" y="5695386"/>
          <a:chExt cx="7939475" cy="5350378"/>
        </a:xfrm>
      </xdr:grpSpPr>
      <xdr:graphicFrame macro="">
        <xdr:nvGraphicFramePr>
          <xdr:cNvPr id="21" name="CO2-all chart">
            <a:extLst>
              <a:ext uri="{FF2B5EF4-FFF2-40B4-BE49-F238E27FC236}">
                <a16:creationId xmlns:a16="http://schemas.microsoft.com/office/drawing/2014/main" id="{478E7387-7FC9-472E-B124-7E890D854DD3}"/>
              </a:ext>
            </a:extLst>
          </xdr:cNvPr>
          <xdr:cNvGraphicFramePr>
            <a:graphicFrameLocks/>
          </xdr:cNvGraphicFramePr>
        </xdr:nvGraphicFramePr>
        <xdr:xfrm>
          <a:off x="8823383" y="5695386"/>
          <a:ext cx="7939475" cy="53244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23" name="Chart 22">
            <a:extLst>
              <a:ext uri="{FF2B5EF4-FFF2-40B4-BE49-F238E27FC236}">
                <a16:creationId xmlns:a16="http://schemas.microsoft.com/office/drawing/2014/main" id="{5CB80E35-575D-434D-80EC-9771D47E978B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752044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30</xdr:col>
      <xdr:colOff>139992</xdr:colOff>
      <xdr:row>35</xdr:row>
      <xdr:rowOff>163657</xdr:rowOff>
    </xdr:from>
    <xdr:to>
      <xdr:col>44</xdr:col>
      <xdr:colOff>605810</xdr:colOff>
      <xdr:row>62</xdr:row>
      <xdr:rowOff>106507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C3CD5F77-AECF-4AD9-B0EA-431C20982E25}"/>
            </a:ext>
          </a:extLst>
        </xdr:cNvPr>
        <xdr:cNvGrpSpPr/>
      </xdr:nvGrpSpPr>
      <xdr:grpSpPr>
        <a:xfrm>
          <a:off x="18685167" y="7036377"/>
          <a:ext cx="9283370" cy="5242214"/>
          <a:chOff x="45650" y="0"/>
          <a:chExt cx="5770492" cy="5076825"/>
        </a:xfrm>
      </xdr:grpSpPr>
      <xdr:graphicFrame macro="">
        <xdr:nvGraphicFramePr>
          <xdr:cNvPr id="25" name="Chart 24">
            <a:extLst>
              <a:ext uri="{FF2B5EF4-FFF2-40B4-BE49-F238E27FC236}">
                <a16:creationId xmlns:a16="http://schemas.microsoft.com/office/drawing/2014/main" id="{C5DC5C4A-DF99-4B47-8519-D09314F93A08}"/>
              </a:ext>
            </a:extLst>
          </xdr:cNvPr>
          <xdr:cNvGraphicFramePr>
            <a:graphicFrameLocks/>
          </xdr:cNvGraphicFramePr>
        </xdr:nvGraphicFramePr>
        <xdr:xfrm>
          <a:off x="45650" y="0"/>
          <a:ext cx="5770492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ECFE4156-8101-4D77-82F7-6D75FC118352}"/>
              </a:ext>
            </a:extLst>
          </xdr:cNvPr>
          <xdr:cNvGraphicFramePr>
            <a:graphicFrameLocks/>
          </xdr:cNvGraphicFramePr>
        </xdr:nvGraphicFramePr>
        <xdr:xfrm>
          <a:off x="234038" y="430661"/>
          <a:ext cx="1619250" cy="44551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342591" createdVersion="3" refreshedVersion="7" minRefreshableVersion="3" recordCount="120" xr:uid="{2B3AA27F-B99D-4236-B248-9881EFFB1FA7}">
  <cacheSource type="worksheet">
    <worksheetSource ref="A1:G121" sheet="CO2e-udledning"/>
  </cacheSource>
  <cacheFields count="7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63985.5653391453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458337" createdVersion="3" refreshedVersion="7" minRefreshableVersion="3" recordCount="120" xr:uid="{0C3F7099-B252-4670-BCB9-DAB97A905F91}">
  <cacheSource type="worksheet">
    <worksheetSource ref="A1:G121" sheet="CO2e-udledning"/>
  </cacheSource>
  <cacheFields count="7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763985.5653391453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1921299" createdVersion="3" refreshedVersion="7" minRefreshableVersion="3" recordCount="180" xr:uid="{CEEAF2D2-CD32-4323-BF62-4E8023E042AE}">
  <cacheSource type="worksheet">
    <worksheetSource ref="A1:F181" sheet="Arealanvendelse"/>
  </cacheSource>
  <cacheFields count="6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037037" createdVersion="3" refreshedVersion="7" minRefreshableVersion="3" recordCount="180" xr:uid="{B5A7F4E0-A289-43A4-BE5A-4958350C39DB}">
  <cacheSource type="worksheet">
    <worksheetSource ref="A1:F181" sheet="Arealanvendelse"/>
  </cacheSource>
  <cacheFields count="6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615738" createdVersion="3" refreshedVersion="7" minRefreshableVersion="3" recordCount="1008" xr:uid="{B46CC486-308A-4BF4-9D78-A24D145DFA3F}">
  <cacheSource type="worksheet">
    <worksheetSource ref="A1:K1009" sheet="Arealanvendelse - landbrug"/>
  </cacheSource>
  <cacheFields count="11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795912.3734733164"/>
    </cacheField>
    <cacheField name="Halmudbytte" numFmtId="0">
      <sharedItems containsSemiMixedTypes="0" containsString="0" containsNumber="1" minValue="0" maxValue="2329941.7671216745"/>
    </cacheField>
    <cacheField name="Potentielt til bioenergi" numFmtId="0">
      <sharedItems containsSemiMixedTypes="0" containsString="0" containsNumber="1" minValue="0" maxValue="9795912.3734733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2962961" createdVersion="3" refreshedVersion="7" minRefreshableVersion="3" recordCount="1008" xr:uid="{E974A6CF-C09C-4C88-93AC-A1A14FBA191B}">
  <cacheSource type="worksheet">
    <worksheetSource ref="A1:K1009" sheet="Arealanvendelse - landbrug"/>
  </cacheSource>
  <cacheFields count="11">
    <cacheField name="Scenarie" numFmtId="0">
      <sharedItems count="2">
        <s v="Teknologioptimist"/>
        <s v="Teknologiuafhaengig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795912.3734733164"/>
    </cacheField>
    <cacheField name="Halmudbytte" numFmtId="0">
      <sharedItems containsSemiMixedTypes="0" containsString="0" containsNumber="1" minValue="0" maxValue="2329941.7671216745"/>
    </cacheField>
    <cacheField name="Potentielt til bioenergi" numFmtId="0">
      <sharedItems containsSemiMixedTypes="0" containsString="0" containsNumber="1" minValue="0" maxValue="9795912.37347331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657408" createdVersion="3" refreshedVersion="7" minRefreshableVersion="3" recordCount="576" xr:uid="{3A0665A1-4D9E-42C9-9334-D3349981F34B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773146" createdVersion="3" refreshedVersion="7" minRefreshableVersion="3" recordCount="576" xr:uid="{73917C7A-B585-4776-99B8-B3BCA1B5CAA3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3888892" createdVersion="3" refreshedVersion="7" minRefreshableVersion="3" recordCount="576" xr:uid="{30691551-E237-4050-BA75-5A95777E8F67}">
  <cacheSource type="worksheet">
    <worksheetSource ref="A1:Z577" sheet="Produktion &amp; forbrug"/>
  </cacheSource>
  <cacheFields count="27">
    <cacheField name="Scenarie" numFmtId="0">
      <sharedItems count="2">
        <s v="Teknologioptimist"/>
        <s v="Teknologiuafhaengig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412037" createdVersion="3" refreshedVersion="7" minRefreshableVersion="3" recordCount="576" xr:uid="{196674E8-4C6D-493D-AE8E-CCFEC11D177F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469.657464351854" createdVersion="3" refreshedVersion="7" minRefreshableVersion="3" recordCount="576" xr:uid="{8C9D86FC-F78F-452A-AF18-05F44602E9B4}">
  <cacheSource type="worksheet">
    <worksheetSource ref="A1:Z577" sheet="Produktion &amp; forbrug"/>
  </cacheSource>
  <cacheFields count="26">
    <cacheField name="Scenarie" numFmtId="0">
      <sharedItems count="2">
        <s v="Teknologioptimist"/>
        <s v="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550175.4953867961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61864917581333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61864917581333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123.755415219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8123.755415219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C56726-5CC9-49F3-87E4-9C24D5C7C94F}" name="Areal" cacheId="959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2:G10" firstHeaderRow="1" firstDataRow="2" firstDataCol="1"/>
  <pivotFields count="6">
    <pivotField axis="axisRow" showAll="0">
      <items count="3">
        <item n="Teknologi-optimist" x="0"/>
        <item n="Teknologi-uafhaengig"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26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3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7" format="3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7" format="3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7" format="3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7" format="3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7" format="3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2"/>
          </reference>
          <reference field="3" count="1" selected="0">
            <x v="1"/>
          </reference>
        </references>
      </pivotArea>
    </chartFormat>
    <chartFormat chart="7" format="38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7" format="39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7" format="4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7" format="4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3"/>
          </reference>
          <reference field="3" count="1" selected="0">
            <x v="1"/>
          </reference>
        </references>
      </pivotArea>
    </chartFormat>
    <chartFormat chart="7" format="42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7" format="43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3"/>
          </reference>
          <reference field="3" count="1" selected="0">
            <x v="2"/>
          </reference>
        </references>
      </pivotArea>
    </chartFormat>
    <chartFormat chart="7" format="44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1"/>
          </reference>
        </references>
      </pivotArea>
    </chartFormat>
    <chartFormat chart="7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4"/>
          </reference>
          <reference field="3" count="1" selected="0">
            <x v="1"/>
          </reference>
        </references>
      </pivotArea>
    </chartFormat>
    <chartFormat chart="7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4"/>
          </reference>
          <reference field="3" count="1" selected="0">
            <x v="2"/>
          </reference>
        </references>
      </pivotArea>
    </chartFormat>
    <chartFormat chart="7" format="47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4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90C10-561B-4AE9-BF09-D7D6782BD0D5}" name="Areal2019" cacheId="959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7">
  <location ref="A3:G6" firstHeaderRow="1" firstDataRow="2" firstDataCol="1" rowPageCount="1" colPageCount="1"/>
  <pivotFields count="6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9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25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2" format="26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</references>
      </pivotArea>
    </chartFormat>
    <chartFormat chart="12" format="27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1" selected="0">
            <x v="0"/>
          </reference>
        </references>
      </pivotArea>
    </chartFormat>
    <chartFormat chart="12" format="28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22B2E9-7D9C-481B-9BE0-3A36B00C3842}" name="Areal land" cacheId="960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0" firstHeaderRow="1" firstDataRow="2" firstDataCol="1"/>
  <pivotFields count="11">
    <pivotField axis="axisRow" showAll="0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C4FF51-932E-490D-9E85-7F44503C64D8}" name="Areal land 2019" cacheId="960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CE8D9-3715-4A51-9B86-D65F9C6B2F3B}" name="CO2-all" cacheId="958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7">
  <location ref="A2:I10" firstHeaderRow="1" firstDataRow="2" firstDataCol="1"/>
  <pivotFields count="7">
    <pivotField axis="axisRow" showAll="0">
      <items count="3">
        <item n="Teknologi-optimist" x="0"/>
        <item n="Teknologi-uafhængig" x="1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h="1"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5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24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9" format="3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9" format="3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9" format="3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9" format="4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9" format="4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9" format="4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9" format="4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9" format="4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9" format="45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9" format="46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07904F-40EA-47F6-B6AB-43D25AA4FD3F}" name="CO2-2019" cacheId="959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0">
  <location ref="A3:J6" firstHeaderRow="1" firstDataRow="2" firstDataCol="1" rowPageCount="1" colPageCount="1"/>
  <pivotFields count="7">
    <pivotField axis="axisPage" showAll="0" sortType="ascending">
      <items count="3">
        <item x="0"/>
        <item x="1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27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2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2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2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2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2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2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12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12" format="3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E679EB-7727-44E3-B1DD-BB0019336374}" name="PotentialePJ" cacheId="961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11" firstHeaderRow="1" firstDataRow="3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64626F-A915-491F-8525-0FEE11E10A15}" name="PotentialePJ2019" cacheId="96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364503-36AA-4DCF-A510-5F3A7E30DB83}" name="PotentialeTS" cacheId="96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10" firstHeaderRow="1" firstDataRow="2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AD148F-9D08-45ED-BEF7-2C9EC551D75F}" name="PotentialeTS2019" cacheId="962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E48420-E8F3-42AB-8E8A-8015464F8DFD}" name="Import" cacheId="96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14" firstHeaderRow="1" firstDataRow="2" firstDataCol="2" rowPageCount="1" colPageCount="1"/>
  <pivotFields count="27">
    <pivotField axis="axisRow" compact="0" outline="0" subtotalTop="0" showAll="0">
      <items count="3">
        <item x="0"/>
        <item x="1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0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 t="grand">
      <x/>
    </i>
  </rowItems>
  <colFields count="1">
    <field x="1"/>
  </colFields>
  <colItems count="9">
    <i>
      <x v="5"/>
    </i>
    <i>
      <x v="10"/>
    </i>
    <i>
      <x v="14"/>
    </i>
    <i>
      <x v="15"/>
    </i>
    <i>
      <x v="18"/>
    </i>
    <i>
      <x v="21"/>
    </i>
    <i>
      <x v="22"/>
    </i>
    <i>
      <x v="26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3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7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Energy Modelling Lab">
      <a:dk1>
        <a:sysClr val="windowText" lastClr="000000"/>
      </a:dk1>
      <a:lt1>
        <a:sysClr val="window" lastClr="FFFFFF"/>
      </a:lt1>
      <a:dk2>
        <a:srgbClr val="454545"/>
      </a:dk2>
      <a:lt2>
        <a:srgbClr val="E0E0E0"/>
      </a:lt2>
      <a:accent1>
        <a:srgbClr val="307C98"/>
      </a:accent1>
      <a:accent2>
        <a:srgbClr val="794F83"/>
      </a:accent2>
      <a:accent3>
        <a:srgbClr val="4C8A50"/>
      </a:accent3>
      <a:accent4>
        <a:srgbClr val="41B1A9"/>
      </a:accent4>
      <a:accent5>
        <a:srgbClr val="BB4A47"/>
      </a:accent5>
      <a:accent6>
        <a:srgbClr val="EDB109"/>
      </a:accent6>
      <a:hlink>
        <a:srgbClr val="262626"/>
      </a:hlink>
      <a:folHlink>
        <a:srgbClr val="3F3F3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3"/>
  <sheetViews>
    <sheetView showGridLines="0" tabSelected="1" workbookViewId="0">
      <selection activeCell="F7" sqref="F7"/>
    </sheetView>
  </sheetViews>
  <sheetFormatPr defaultRowHeight="15" x14ac:dyDescent="0.25"/>
  <cols>
    <col min="1" max="1" width="61.85546875" bestFit="1" customWidth="1"/>
  </cols>
  <sheetData>
    <row r="1" spans="1:3" ht="15.75" thickBot="1" x14ac:dyDescent="0.3">
      <c r="A1" s="1" t="s">
        <v>86</v>
      </c>
    </row>
    <row r="2" spans="1:3" ht="15.75" thickBot="1" x14ac:dyDescent="0.3">
      <c r="A2" s="14" t="s">
        <v>151</v>
      </c>
      <c r="C2" t="s">
        <v>135</v>
      </c>
    </row>
    <row r="3" spans="1:3" x14ac:dyDescent="0.25">
      <c r="A3" t="s">
        <v>152</v>
      </c>
      <c r="C3" t="s">
        <v>140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A30:AU220"/>
  <sheetViews>
    <sheetView topLeftCell="A190" zoomScale="55" zoomScaleNormal="55" workbookViewId="0">
      <selection activeCell="AE219" sqref="AE219"/>
    </sheetView>
  </sheetViews>
  <sheetFormatPr defaultColWidth="9.140625" defaultRowHeight="15" x14ac:dyDescent="0.25"/>
  <cols>
    <col min="1" max="27" width="9.140625" style="10"/>
    <col min="28" max="28" width="12" style="10" bestFit="1" customWidth="1"/>
    <col min="29" max="31" width="9.140625" style="10"/>
    <col min="32" max="32" width="10.28515625" style="10" bestFit="1" customWidth="1"/>
    <col min="33" max="33" width="9.140625" style="10"/>
    <col min="34" max="34" width="12" style="10" bestFit="1" customWidth="1"/>
    <col min="35" max="16384" width="9.140625" style="10"/>
  </cols>
  <sheetData>
    <row r="30" spans="32:38" x14ac:dyDescent="0.25">
      <c r="AH30" s="10" t="s">
        <v>116</v>
      </c>
      <c r="AI30" s="10" t="s">
        <v>113</v>
      </c>
      <c r="AJ30" s="10" t="s">
        <v>114</v>
      </c>
      <c r="AK30" s="10" t="s">
        <v>115</v>
      </c>
      <c r="AL30" s="10" t="s">
        <v>111</v>
      </c>
    </row>
    <row r="31" spans="32:38" x14ac:dyDescent="0.25">
      <c r="AG31" s="10">
        <v>2019</v>
      </c>
      <c r="AH31" s="85">
        <f>GETPIVOTDATA("Værdi",'Arealanvendelse pivot 2019'!$A$3,"Areal",AH30,"År",2019)/GETPIVOTDATA("Værdi",'Arealanvendelse pivot 2019'!$A$3,"År",2019)</f>
        <v>1.5422876251674364E-2</v>
      </c>
      <c r="AI31" s="85">
        <f>GETPIVOTDATA("Værdi",'Arealanvendelse pivot 2019'!$A$3,"Areal",AI30,"År",2019)/GETPIVOTDATA("Værdi",'Arealanvendelse pivot 2019'!$A$3,"År",2019)</f>
        <v>0.13845227947581892</v>
      </c>
      <c r="AJ31" s="85">
        <f>GETPIVOTDATA("Værdi",'Arealanvendelse pivot 2019'!$A$3,"Areal",AJ30,"År",2019)/GETPIVOTDATA("Værdi",'Arealanvendelse pivot 2019'!$A$3,"År",2019)</f>
        <v>0.60379413059565179</v>
      </c>
      <c r="AK31" s="85">
        <f>GETPIVOTDATA("Værdi",'Arealanvendelse pivot 2019'!$A$3,"Areal",AK30,"År",2019)/GETPIVOTDATA("Værdi",'Arealanvendelse pivot 2019'!$A$3,"År",2019)</f>
        <v>0.11074683627303128</v>
      </c>
      <c r="AL31" s="85">
        <f>GETPIVOTDATA("Værdi",'Arealanvendelse pivot 2019'!$A$3,"Areal",AL30,"År",2019)/GETPIVOTDATA("Værdi",'Arealanvendelse pivot 2019'!$A$3,"År",2019)</f>
        <v>0.13158387740382363</v>
      </c>
    </row>
    <row r="32" spans="32:38" x14ac:dyDescent="0.25">
      <c r="AF32" s="10" t="s">
        <v>153</v>
      </c>
      <c r="AG32" s="10">
        <v>2030</v>
      </c>
      <c r="AH32" s="85">
        <f>GETPIVOTDATA("Værdi",'Arealanvendelse pivot'!$A$2,"Scenarie",$AF32,"Areal",AH$30,"År",$AG32)/GETPIVOTDATA("Værdi",'Arealanvendelse pivot'!$A$2,"Scenarie","Teknologioptimist","År",2030)</f>
        <v>1.5422876251674364E-2</v>
      </c>
      <c r="AI32" s="85">
        <f>GETPIVOTDATA("Værdi",'Arealanvendelse pivot'!$A$2,"Scenarie",$AF32,"Areal",AI$30,"År",$AG32)/GETPIVOTDATA("Værdi",'Arealanvendelse pivot'!$A$2,"Scenarie","Teknologioptimist","År",2030)</f>
        <v>0.13845227947581892</v>
      </c>
      <c r="AJ32" s="85">
        <f>GETPIVOTDATA("Værdi",'Arealanvendelse pivot'!$A$2,"Scenarie",$AF32,"Areal",AJ$30,"År",$AG32)/GETPIVOTDATA("Værdi",'Arealanvendelse pivot'!$A$2,"Scenarie","Teknologioptimist","År",2030)</f>
        <v>0.54290819337373653</v>
      </c>
      <c r="AK32" s="85">
        <f>GETPIVOTDATA("Værdi",'Arealanvendelse pivot'!$A$2,"Scenarie",$AF32,"Areal",AK$30,"År",$AG32)/GETPIVOTDATA("Værdi",'Arealanvendelse pivot'!$A$2,"Scenarie","Teknologioptimist","År",2030)</f>
        <v>0.13416450443530636</v>
      </c>
      <c r="AL32" s="85">
        <f>GETPIVOTDATA("Værdi",'Arealanvendelse pivot'!$A$2,"Scenarie",$AF32,"Areal",AL$30,"År",$AG32)/GETPIVOTDATA("Værdi",'Arealanvendelse pivot'!$A$2,"Scenarie","Teknologioptimist","År",2030)</f>
        <v>0.16905214646346375</v>
      </c>
    </row>
    <row r="33" spans="32:38" x14ac:dyDescent="0.25">
      <c r="AF33" s="10" t="s">
        <v>155</v>
      </c>
      <c r="AG33" s="10">
        <v>2030</v>
      </c>
      <c r="AH33" s="85">
        <f>GETPIVOTDATA("Værdi",'Arealanvendelse pivot'!$A$2,"Scenarie",$AF33,"Areal",AH$30,"År",$AG33)/GETPIVOTDATA("Værdi",'Arealanvendelse pivot'!$A$2,"Scenarie","Teknologioptimist","År",2030)</f>
        <v>1.5422876251674364E-2</v>
      </c>
      <c r="AI33" s="85">
        <f>GETPIVOTDATA("Værdi",'Arealanvendelse pivot'!$A$2,"Scenarie",$AF33,"Areal",AI$30,"År",$AG33)/GETPIVOTDATA("Værdi",'Arealanvendelse pivot'!$A$2,"Scenarie","Teknologioptimist","År",2030)</f>
        <v>0.13845227947581892</v>
      </c>
      <c r="AJ33" s="85">
        <f>GETPIVOTDATA("Værdi",'Arealanvendelse pivot'!$A$2,"Scenarie",$AF33,"Areal",AJ$30,"År",$AG33)/GETPIVOTDATA("Værdi",'Arealanvendelse pivot'!$A$2,"Scenarie","Teknologioptimist","År",2030)</f>
        <v>0.53354112610882654</v>
      </c>
      <c r="AK33" s="85">
        <f>GETPIVOTDATA("Værdi",'Arealanvendelse pivot'!$A$2,"Scenarie",$AF33,"Areal",AK$30,"År",$AG33)/GETPIVOTDATA("Værdi",'Arealanvendelse pivot'!$A$2,"Scenarie","Teknologioptimist","År",2030)</f>
        <v>0.13416450443530634</v>
      </c>
      <c r="AL33" s="85">
        <f>GETPIVOTDATA("Værdi",'Arealanvendelse pivot'!$A$2,"Scenarie",$AF33,"Areal",AL$30,"År",$AG33)/GETPIVOTDATA("Værdi",'Arealanvendelse pivot'!$A$2,"Scenarie","Teknologioptimist","År",2030)</f>
        <v>0.17841921372837377</v>
      </c>
    </row>
    <row r="34" spans="32:38" x14ac:dyDescent="0.25">
      <c r="AF34" s="10" t="str">
        <f>AF32</f>
        <v>Teknologi-optimist</v>
      </c>
      <c r="AG34" s="10">
        <v>2050</v>
      </c>
      <c r="AH34" s="85">
        <f>GETPIVOTDATA("Værdi",'Arealanvendelse pivot'!$A$2,"Scenarie",$AF34,"Areal",AH$30,"År",$AG34)/GETPIVOTDATA("Værdi",'Arealanvendelse pivot'!$A$2,"Scenarie","Teknologioptimist","År",2030)</f>
        <v>1.5422876251674364E-2</v>
      </c>
      <c r="AI34" s="85">
        <f>GETPIVOTDATA("Værdi",'Arealanvendelse pivot'!$A$2,"Scenarie",$AF34,"Areal",AI$30,"År",$AG34)/GETPIVOTDATA("Værdi",'Arealanvendelse pivot'!$A$2,"Scenarie","Teknologioptimist","År",2030)</f>
        <v>0.13845227947581892</v>
      </c>
      <c r="AJ34" s="85">
        <f>GETPIVOTDATA("Værdi",'Arealanvendelse pivot'!$A$2,"Scenarie",$AF34,"Areal",AJ$30,"År",$AG34)/GETPIVOTDATA("Værdi",'Arealanvendelse pivot'!$A$2,"Scenarie","Teknologioptimist","År",2030)</f>
        <v>0.45890105566848077</v>
      </c>
      <c r="AK34" s="85">
        <f>GETPIVOTDATA("Værdi",'Arealanvendelse pivot'!$A$2,"Scenarie",$AF34,"Areal",AK$30,"År",$AG34)/GETPIVOTDATA("Værdi",'Arealanvendelse pivot'!$A$2,"Scenarie","Teknologioptimist","År",2030)</f>
        <v>0.15260217128619202</v>
      </c>
      <c r="AL34" s="85">
        <f>GETPIVOTDATA("Værdi",'Arealanvendelse pivot'!$A$2,"Scenarie",$AF34,"Areal",AL$30,"År",$AG34)/GETPIVOTDATA("Værdi",'Arealanvendelse pivot'!$A$2,"Scenarie","Teknologioptimist","År",2030)</f>
        <v>0.23462161731783396</v>
      </c>
    </row>
    <row r="35" spans="32:38" x14ac:dyDescent="0.25">
      <c r="AF35" s="10" t="str">
        <f>AF33</f>
        <v>Teknologi-uafhaengig</v>
      </c>
      <c r="AG35" s="10">
        <v>2050</v>
      </c>
      <c r="AH35" s="85">
        <f>GETPIVOTDATA("Værdi",'Arealanvendelse pivot'!$A$2,"Scenarie",$AF35,"Areal",AH$30,"År",$AG35)/GETPIVOTDATA("Værdi",'Arealanvendelse pivot'!$A$2,"Scenarie","Teknologioptimist","År",2030)</f>
        <v>1.5422876251674364E-2</v>
      </c>
      <c r="AI35" s="85">
        <f>GETPIVOTDATA("Værdi",'Arealanvendelse pivot'!$A$2,"Scenarie",$AF35,"Areal",AI$30,"År",$AG35)/GETPIVOTDATA("Værdi",'Arealanvendelse pivot'!$A$2,"Scenarie","Teknologioptimist","År",2030)</f>
        <v>0.13845227947581892</v>
      </c>
      <c r="AJ35" s="85">
        <f>GETPIVOTDATA("Værdi",'Arealanvendelse pivot'!$A$2,"Scenarie",$AF35,"Areal",AJ$30,"År",$AG35)/GETPIVOTDATA("Værdi",'Arealanvendelse pivot'!$A$2,"Scenarie","Teknologioptimist","År",2030)</f>
        <v>0.45890105566848077</v>
      </c>
      <c r="AK35" s="85">
        <f>GETPIVOTDATA("Værdi",'Arealanvendelse pivot'!$A$2,"Scenarie",$AF35,"Areal",AK$30,"År",$AG35)/GETPIVOTDATA("Værdi",'Arealanvendelse pivot'!$A$2,"Scenarie","Teknologioptimist","År",2030)</f>
        <v>0.152602171286192</v>
      </c>
      <c r="AL35" s="85">
        <f>GETPIVOTDATA("Værdi",'Arealanvendelse pivot'!$A$2,"Scenarie",$AF35,"Areal",AL$30,"År",$AG35)/GETPIVOTDATA("Værdi",'Arealanvendelse pivot'!$A$2,"Scenarie","Teknologioptimist","År",2030)</f>
        <v>0.23462161731783396</v>
      </c>
    </row>
    <row r="67" spans="32:47" x14ac:dyDescent="0.25">
      <c r="AF67" s="83">
        <f>GETPIVOTDATA("Total",'CO2e-udledning pivot 2019'!$A$3,"År",2019,"Sted2","CO2 - atmosfære")/1000000</f>
        <v>13.911562118277571</v>
      </c>
      <c r="AG67" s="84">
        <f>GETPIVOTDATA("Total",'CO2e-udledning pivot'!$A$2,"Scenarie","Teknologi-optimist","År",2030,"Sted2","CO2 - atmosfære")/1000000</f>
        <v>6.0572268675646104</v>
      </c>
      <c r="AH67" s="84">
        <f>GETPIVOTDATA("Total",'CO2e-udledning pivot'!$A$2,"Scenarie","Teknologi-uafhængig","År",2030,"Sted2","CO2 - atmosfære")/1000000</f>
        <v>6.0335524189919383</v>
      </c>
      <c r="AI67" s="84">
        <f>GETPIVOTDATA("Total",'CO2e-udledning pivot'!$A$2,"Scenarie","Teknologi-optimist","År",2050,"Sted2","CO2 - atmosfære")/1000000</f>
        <v>-0.1295452745672174</v>
      </c>
      <c r="AJ67" s="84">
        <f>GETPIVOTDATA("Total",'CO2e-udledning pivot'!$A$2,"Scenarie","Teknologi-uafhængig","År",2050,"Sted2","CO2 - atmosfære")/1000000</f>
        <v>4.9499479153415828E-2</v>
      </c>
    </row>
    <row r="76" spans="32:47" x14ac:dyDescent="0.25">
      <c r="AU76" s="10">
        <f>5.5/(5.5+9.7)</f>
        <v>0.36184210526315791</v>
      </c>
    </row>
    <row r="219" spans="27:31" x14ac:dyDescent="0.25">
      <c r="AA219" s="10">
        <v>944815</v>
      </c>
      <c r="AB219" s="10">
        <v>885193</v>
      </c>
      <c r="AC219" s="10">
        <v>1321939</v>
      </c>
      <c r="AD219" s="10">
        <v>696375</v>
      </c>
      <c r="AE219" s="10">
        <v>1504173</v>
      </c>
    </row>
    <row r="220" spans="27:31" x14ac:dyDescent="0.25">
      <c r="AB220" s="85">
        <f>AB219/$AA$219-1</f>
        <v>-6.3104417266872326E-2</v>
      </c>
      <c r="AC220" s="85">
        <f t="shared" ref="AC220:AE220" si="0">AC219/$AA$219-1</f>
        <v>0.39915115657562583</v>
      </c>
      <c r="AD220" s="85">
        <f t="shared" si="0"/>
        <v>-0.26295094806919872</v>
      </c>
      <c r="AE220" s="85">
        <f t="shared" si="0"/>
        <v>0.59202912739531022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144</v>
      </c>
    </row>
    <row r="2" spans="1:1" x14ac:dyDescent="0.25">
      <c r="A2" s="16">
        <v>2019</v>
      </c>
    </row>
    <row r="3" spans="1:1" x14ac:dyDescent="0.25">
      <c r="A3" s="17">
        <v>2030</v>
      </c>
    </row>
    <row r="4" spans="1:1" x14ac:dyDescent="0.25">
      <c r="A4" s="18">
        <v>2050</v>
      </c>
    </row>
    <row r="5" spans="1:1" x14ac:dyDescent="0.25">
      <c r="A5" s="19" t="s">
        <v>39</v>
      </c>
    </row>
    <row r="6" spans="1:1" x14ac:dyDescent="0.25">
      <c r="A6" s="20" t="s">
        <v>33</v>
      </c>
    </row>
    <row r="7" spans="1:1" x14ac:dyDescent="0.25">
      <c r="A7" s="21" t="s">
        <v>145</v>
      </c>
    </row>
    <row r="8" spans="1:1" x14ac:dyDescent="0.25">
      <c r="A8" s="22" t="s">
        <v>113</v>
      </c>
    </row>
    <row r="9" spans="1:1" x14ac:dyDescent="0.25">
      <c r="A9" s="23" t="s">
        <v>47</v>
      </c>
    </row>
    <row r="10" spans="1:1" x14ac:dyDescent="0.25">
      <c r="A10" s="24" t="s">
        <v>11</v>
      </c>
    </row>
    <row r="11" spans="1:1" x14ac:dyDescent="0.25">
      <c r="A11" s="25" t="s">
        <v>133</v>
      </c>
    </row>
    <row r="12" spans="1:1" x14ac:dyDescent="0.25">
      <c r="A12" s="26" t="s">
        <v>67</v>
      </c>
    </row>
    <row r="13" spans="1:1" x14ac:dyDescent="0.25">
      <c r="A13" s="23" t="s">
        <v>72</v>
      </c>
    </row>
    <row r="14" spans="1:1" x14ac:dyDescent="0.25">
      <c r="A14" s="27" t="s">
        <v>50</v>
      </c>
    </row>
    <row r="15" spans="1:1" x14ac:dyDescent="0.25">
      <c r="A15" s="28" t="s">
        <v>103</v>
      </c>
    </row>
    <row r="16" spans="1:1" x14ac:dyDescent="0.25">
      <c r="A16" s="29" t="s">
        <v>49</v>
      </c>
    </row>
    <row r="17" spans="1:1" x14ac:dyDescent="0.25">
      <c r="A17" s="30" t="s">
        <v>59</v>
      </c>
    </row>
    <row r="18" spans="1:1" x14ac:dyDescent="0.25">
      <c r="A18" s="31" t="s">
        <v>41</v>
      </c>
    </row>
    <row r="19" spans="1:1" x14ac:dyDescent="0.25">
      <c r="A19" s="32" t="s">
        <v>45</v>
      </c>
    </row>
    <row r="20" spans="1:1" x14ac:dyDescent="0.25">
      <c r="A20" s="33" t="s">
        <v>38</v>
      </c>
    </row>
    <row r="21" spans="1:1" x14ac:dyDescent="0.25">
      <c r="A21" s="34" t="s">
        <v>74</v>
      </c>
    </row>
    <row r="22" spans="1:1" x14ac:dyDescent="0.25">
      <c r="A22" s="35" t="s">
        <v>40</v>
      </c>
    </row>
    <row r="23" spans="1:1" x14ac:dyDescent="0.25">
      <c r="A23" s="36" t="s">
        <v>56</v>
      </c>
    </row>
    <row r="24" spans="1:1" x14ac:dyDescent="0.25">
      <c r="A24" s="37" t="s">
        <v>52</v>
      </c>
    </row>
    <row r="25" spans="1:1" x14ac:dyDescent="0.25">
      <c r="A25" s="37" t="s">
        <v>75</v>
      </c>
    </row>
    <row r="26" spans="1:1" x14ac:dyDescent="0.25">
      <c r="A26" s="38" t="s">
        <v>60</v>
      </c>
    </row>
    <row r="27" spans="1:1" x14ac:dyDescent="0.25">
      <c r="A27" s="39" t="s">
        <v>29</v>
      </c>
    </row>
    <row r="28" spans="1:1" x14ac:dyDescent="0.25">
      <c r="A28" s="40" t="s">
        <v>51</v>
      </c>
    </row>
    <row r="29" spans="1:1" x14ac:dyDescent="0.25">
      <c r="A29" s="40" t="s">
        <v>76</v>
      </c>
    </row>
    <row r="30" spans="1:1" x14ac:dyDescent="0.25">
      <c r="A30" s="41" t="s">
        <v>110</v>
      </c>
    </row>
    <row r="31" spans="1:1" x14ac:dyDescent="0.25">
      <c r="A31" s="42" t="s">
        <v>78</v>
      </c>
    </row>
    <row r="32" spans="1:1" x14ac:dyDescent="0.25">
      <c r="A32" s="43" t="s">
        <v>55</v>
      </c>
    </row>
    <row r="33" spans="1:1" x14ac:dyDescent="0.25">
      <c r="A33" s="44" t="s">
        <v>105</v>
      </c>
    </row>
    <row r="34" spans="1:1" x14ac:dyDescent="0.25">
      <c r="A34" s="45" t="s">
        <v>73</v>
      </c>
    </row>
    <row r="35" spans="1:1" x14ac:dyDescent="0.25">
      <c r="A35" s="46" t="s">
        <v>116</v>
      </c>
    </row>
    <row r="36" spans="1:1" x14ac:dyDescent="0.25">
      <c r="A36" s="47" t="s">
        <v>62</v>
      </c>
    </row>
    <row r="37" spans="1:1" x14ac:dyDescent="0.25">
      <c r="A37" s="48" t="s">
        <v>48</v>
      </c>
    </row>
    <row r="38" spans="1:1" x14ac:dyDescent="0.25">
      <c r="A38" s="49" t="s">
        <v>77</v>
      </c>
    </row>
    <row r="39" spans="1:1" x14ac:dyDescent="0.25">
      <c r="A39" s="50" t="s">
        <v>30</v>
      </c>
    </row>
    <row r="40" spans="1:1" x14ac:dyDescent="0.25">
      <c r="A40" s="51" t="s">
        <v>28</v>
      </c>
    </row>
    <row r="41" spans="1:1" x14ac:dyDescent="0.25">
      <c r="A41" s="52" t="s">
        <v>68</v>
      </c>
    </row>
    <row r="42" spans="1:1" x14ac:dyDescent="0.25">
      <c r="A42" s="53" t="s">
        <v>44</v>
      </c>
    </row>
    <row r="43" spans="1:1" x14ac:dyDescent="0.25">
      <c r="A43" s="18" t="s">
        <v>114</v>
      </c>
    </row>
    <row r="44" spans="1:1" x14ac:dyDescent="0.25">
      <c r="A44" s="54" t="s">
        <v>58</v>
      </c>
    </row>
    <row r="45" spans="1:1" x14ac:dyDescent="0.25">
      <c r="A45" s="55" t="s">
        <v>53</v>
      </c>
    </row>
    <row r="46" spans="1:1" x14ac:dyDescent="0.25">
      <c r="A46" s="18" t="s">
        <v>106</v>
      </c>
    </row>
    <row r="47" spans="1:1" x14ac:dyDescent="0.25">
      <c r="A47" s="56" t="s">
        <v>37</v>
      </c>
    </row>
    <row r="48" spans="1:1" x14ac:dyDescent="0.25">
      <c r="A48" s="57" t="s">
        <v>34</v>
      </c>
    </row>
    <row r="49" spans="1:1" x14ac:dyDescent="0.25">
      <c r="A49" s="58" t="s">
        <v>115</v>
      </c>
    </row>
    <row r="50" spans="1:1" x14ac:dyDescent="0.25">
      <c r="A50" s="59" t="s">
        <v>32</v>
      </c>
    </row>
    <row r="51" spans="1:1" x14ac:dyDescent="0.25">
      <c r="A51" s="60" t="s">
        <v>79</v>
      </c>
    </row>
    <row r="52" spans="1:1" x14ac:dyDescent="0.25">
      <c r="A52" s="61" t="s">
        <v>119</v>
      </c>
    </row>
    <row r="53" spans="1:1" x14ac:dyDescent="0.25">
      <c r="A53" s="62" t="s">
        <v>64</v>
      </c>
    </row>
    <row r="54" spans="1:1" x14ac:dyDescent="0.25">
      <c r="A54" s="63" t="s">
        <v>137</v>
      </c>
    </row>
    <row r="55" spans="1:1" x14ac:dyDescent="0.25">
      <c r="A55" s="52" t="s">
        <v>138</v>
      </c>
    </row>
    <row r="56" spans="1:1" x14ac:dyDescent="0.25">
      <c r="A56" s="64" t="s">
        <v>136</v>
      </c>
    </row>
    <row r="57" spans="1:1" x14ac:dyDescent="0.25">
      <c r="A57" s="63" t="s">
        <v>139</v>
      </c>
    </row>
    <row r="58" spans="1:1" x14ac:dyDescent="0.25">
      <c r="A58" s="65" t="s">
        <v>81</v>
      </c>
    </row>
    <row r="59" spans="1:1" x14ac:dyDescent="0.25">
      <c r="A59" s="66" t="s">
        <v>71</v>
      </c>
    </row>
    <row r="60" spans="1:1" x14ac:dyDescent="0.25">
      <c r="A60" s="67" t="s">
        <v>57</v>
      </c>
    </row>
    <row r="61" spans="1:1" x14ac:dyDescent="0.25">
      <c r="A61" s="68" t="s">
        <v>63</v>
      </c>
    </row>
    <row r="62" spans="1:1" x14ac:dyDescent="0.25">
      <c r="A62" s="69" t="s">
        <v>54</v>
      </c>
    </row>
    <row r="63" spans="1:1" x14ac:dyDescent="0.25">
      <c r="A63" s="70" t="s">
        <v>111</v>
      </c>
    </row>
    <row r="64" spans="1:1" x14ac:dyDescent="0.25">
      <c r="A64" s="71" t="s">
        <v>146</v>
      </c>
    </row>
    <row r="65" spans="1:8" x14ac:dyDescent="0.25">
      <c r="A65" s="72" t="s">
        <v>147</v>
      </c>
    </row>
    <row r="66" spans="1:8" x14ac:dyDescent="0.25">
      <c r="A66" s="18" t="s">
        <v>148</v>
      </c>
    </row>
    <row r="67" spans="1:8" x14ac:dyDescent="0.25">
      <c r="A67" s="70" t="s">
        <v>149</v>
      </c>
    </row>
    <row r="68" spans="1:8" x14ac:dyDescent="0.25">
      <c r="A68" s="58" t="s">
        <v>150</v>
      </c>
    </row>
    <row r="69" spans="1:8" x14ac:dyDescent="0.25">
      <c r="A69" s="73" t="s">
        <v>82</v>
      </c>
    </row>
    <row r="70" spans="1:8" x14ac:dyDescent="0.25">
      <c r="A70" s="74" t="s">
        <v>61</v>
      </c>
    </row>
    <row r="71" spans="1:8" x14ac:dyDescent="0.25">
      <c r="A71" s="75" t="s">
        <v>46</v>
      </c>
    </row>
    <row r="72" spans="1:8" x14ac:dyDescent="0.25">
      <c r="A72" s="76" t="s">
        <v>43</v>
      </c>
    </row>
    <row r="73" spans="1:8" x14ac:dyDescent="0.25">
      <c r="A73" s="77" t="s">
        <v>31</v>
      </c>
    </row>
    <row r="74" spans="1:8" x14ac:dyDescent="0.25">
      <c r="A74" s="78" t="s">
        <v>35</v>
      </c>
      <c r="H74" s="79" t="s">
        <v>83</v>
      </c>
    </row>
    <row r="75" spans="1:8" x14ac:dyDescent="0.25">
      <c r="A75" s="80" t="s">
        <v>65</v>
      </c>
    </row>
    <row r="76" spans="1:8" x14ac:dyDescent="0.25">
      <c r="A76" s="81" t="s">
        <v>84</v>
      </c>
    </row>
    <row r="77" spans="1:8" x14ac:dyDescent="0.25">
      <c r="A77" s="82" t="s">
        <v>143</v>
      </c>
    </row>
    <row r="78" spans="1:8" x14ac:dyDescent="0.25">
      <c r="A78" s="81" t="s">
        <v>80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0"/>
  <sheetViews>
    <sheetView workbookViewId="0">
      <selection activeCell="A7" sqref="A7"/>
    </sheetView>
  </sheetViews>
  <sheetFormatPr defaultRowHeight="15" x14ac:dyDescent="0.25"/>
  <cols>
    <col min="1" max="1" width="23.57031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122</v>
      </c>
      <c r="B2" s="6" t="s">
        <v>89</v>
      </c>
    </row>
    <row r="3" spans="1:7" x14ac:dyDescent="0.25">
      <c r="A3" s="6" t="s">
        <v>87</v>
      </c>
      <c r="B3" t="s">
        <v>116</v>
      </c>
      <c r="C3" t="s">
        <v>113</v>
      </c>
      <c r="D3" t="s">
        <v>114</v>
      </c>
      <c r="E3" t="s">
        <v>115</v>
      </c>
      <c r="F3" t="s">
        <v>111</v>
      </c>
      <c r="G3" t="s">
        <v>88</v>
      </c>
    </row>
    <row r="4" spans="1:7" x14ac:dyDescent="0.25">
      <c r="A4" s="7">
        <v>2030</v>
      </c>
      <c r="B4" s="12">
        <v>131720</v>
      </c>
      <c r="C4" s="12">
        <v>1182460</v>
      </c>
      <c r="D4" s="12">
        <v>4596740</v>
      </c>
      <c r="E4" s="12">
        <v>1145840</v>
      </c>
      <c r="F4" s="12">
        <v>1483800</v>
      </c>
      <c r="G4" s="12">
        <v>8540560</v>
      </c>
    </row>
    <row r="5" spans="1:7" x14ac:dyDescent="0.25">
      <c r="A5" s="9" t="s">
        <v>153</v>
      </c>
      <c r="B5" s="12">
        <v>65860</v>
      </c>
      <c r="C5" s="12">
        <v>591230</v>
      </c>
      <c r="D5" s="12">
        <v>2318369.9999999995</v>
      </c>
      <c r="E5" s="12">
        <v>572920.00000000012</v>
      </c>
      <c r="F5" s="12">
        <v>721900</v>
      </c>
      <c r="G5" s="12">
        <v>4270280</v>
      </c>
    </row>
    <row r="6" spans="1:7" x14ac:dyDescent="0.25">
      <c r="A6" s="9" t="s">
        <v>155</v>
      </c>
      <c r="B6" s="12">
        <v>65860</v>
      </c>
      <c r="C6" s="12">
        <v>591230</v>
      </c>
      <c r="D6" s="12">
        <v>2278370</v>
      </c>
      <c r="E6" s="12">
        <v>572920</v>
      </c>
      <c r="F6" s="12">
        <v>761900</v>
      </c>
      <c r="G6" s="12">
        <v>4270280</v>
      </c>
    </row>
    <row r="7" spans="1:7" x14ac:dyDescent="0.25">
      <c r="A7" s="7">
        <v>2050</v>
      </c>
      <c r="B7" s="12">
        <v>131720</v>
      </c>
      <c r="C7" s="12">
        <v>1182460</v>
      </c>
      <c r="D7" s="12">
        <v>3919272</v>
      </c>
      <c r="E7" s="12">
        <v>1303308</v>
      </c>
      <c r="F7" s="12">
        <v>2003800</v>
      </c>
      <c r="G7" s="12">
        <v>8540560</v>
      </c>
    </row>
    <row r="8" spans="1:7" x14ac:dyDescent="0.25">
      <c r="A8" s="9" t="s">
        <v>153</v>
      </c>
      <c r="B8" s="12">
        <v>65860</v>
      </c>
      <c r="C8" s="12">
        <v>591230</v>
      </c>
      <c r="D8" s="12">
        <v>1959636</v>
      </c>
      <c r="E8" s="12">
        <v>651654.00000000012</v>
      </c>
      <c r="F8" s="12">
        <v>1001900</v>
      </c>
      <c r="G8" s="12">
        <v>4270280</v>
      </c>
    </row>
    <row r="9" spans="1:7" x14ac:dyDescent="0.25">
      <c r="A9" s="9" t="s">
        <v>155</v>
      </c>
      <c r="B9" s="12">
        <v>65860</v>
      </c>
      <c r="C9" s="12">
        <v>591230</v>
      </c>
      <c r="D9" s="12">
        <v>1959636</v>
      </c>
      <c r="E9" s="12">
        <v>651654</v>
      </c>
      <c r="F9" s="12">
        <v>1001900</v>
      </c>
      <c r="G9" s="12">
        <v>4270280</v>
      </c>
    </row>
    <row r="10" spans="1:7" x14ac:dyDescent="0.25">
      <c r="A10" s="7" t="s">
        <v>88</v>
      </c>
      <c r="B10" s="12">
        <v>263440</v>
      </c>
      <c r="C10" s="12">
        <v>2364920</v>
      </c>
      <c r="D10" s="12">
        <v>8516012</v>
      </c>
      <c r="E10" s="12">
        <v>2449148</v>
      </c>
      <c r="F10" s="12">
        <v>3487600</v>
      </c>
      <c r="G10" s="12">
        <v>17081120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9.710937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151</v>
      </c>
    </row>
    <row r="3" spans="1:7" x14ac:dyDescent="0.25">
      <c r="A3" s="6" t="s">
        <v>122</v>
      </c>
      <c r="B3" s="6" t="s">
        <v>89</v>
      </c>
    </row>
    <row r="4" spans="1:7" x14ac:dyDescent="0.25">
      <c r="A4" s="6" t="s">
        <v>87</v>
      </c>
      <c r="B4" t="s">
        <v>116</v>
      </c>
      <c r="C4" t="s">
        <v>113</v>
      </c>
      <c r="D4" t="s">
        <v>114</v>
      </c>
      <c r="E4" t="s">
        <v>115</v>
      </c>
      <c r="F4" t="s">
        <v>111</v>
      </c>
      <c r="G4" t="s">
        <v>88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88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0"/>
  <sheetViews>
    <sheetView workbookViewId="0">
      <selection activeCell="B2" sqref="B2"/>
    </sheetView>
  </sheetViews>
  <sheetFormatPr defaultRowHeight="15" x14ac:dyDescent="0.25"/>
  <cols>
    <col min="1" max="1" width="23.5703125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1" width="7.5703125" bestFit="1" customWidth="1"/>
    <col min="12" max="12" width="15.7109375" bestFit="1" customWidth="1"/>
    <col min="13" max="13" width="12" bestFit="1" customWidth="1"/>
    <col min="14" max="15" width="7.5703125" bestFit="1" customWidth="1"/>
    <col min="16" max="16" width="11.28515625" bestFit="1" customWidth="1"/>
  </cols>
  <sheetData>
    <row r="1" spans="1:16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123</v>
      </c>
      <c r="B2" s="6" t="s">
        <v>89</v>
      </c>
    </row>
    <row r="3" spans="1:16" x14ac:dyDescent="0.25">
      <c r="A3" s="6" t="s">
        <v>87</v>
      </c>
      <c r="B3" t="s">
        <v>33</v>
      </c>
      <c r="C3" t="s">
        <v>74</v>
      </c>
      <c r="D3" t="s">
        <v>40</v>
      </c>
      <c r="E3" t="s">
        <v>52</v>
      </c>
      <c r="F3" t="s">
        <v>29</v>
      </c>
      <c r="G3" t="s">
        <v>77</v>
      </c>
      <c r="H3" t="s">
        <v>30</v>
      </c>
      <c r="I3" t="s">
        <v>28</v>
      </c>
      <c r="J3" t="s">
        <v>53</v>
      </c>
      <c r="K3" t="s">
        <v>79</v>
      </c>
      <c r="L3" t="s">
        <v>119</v>
      </c>
      <c r="M3" t="s">
        <v>64</v>
      </c>
      <c r="N3" t="s">
        <v>71</v>
      </c>
      <c r="O3" t="s">
        <v>54</v>
      </c>
      <c r="P3" t="s">
        <v>88</v>
      </c>
    </row>
    <row r="4" spans="1:16" x14ac:dyDescent="0.25">
      <c r="A4" s="7">
        <v>2030</v>
      </c>
      <c r="B4" s="12">
        <v>473647.4280917393</v>
      </c>
      <c r="C4" s="12">
        <v>187903.69110611995</v>
      </c>
      <c r="D4" s="12">
        <v>9201.7424746294673</v>
      </c>
      <c r="E4" s="12">
        <v>503845.70761953457</v>
      </c>
      <c r="F4" s="12">
        <v>99784.179981503374</v>
      </c>
      <c r="G4" s="12">
        <v>34494.501685008465</v>
      </c>
      <c r="H4" s="12">
        <v>99870.383208200714</v>
      </c>
      <c r="I4" s="12">
        <v>1957161.4924540645</v>
      </c>
      <c r="J4" s="12">
        <v>295125.51655174245</v>
      </c>
      <c r="K4" s="12">
        <v>127094.10178503199</v>
      </c>
      <c r="L4" s="12">
        <v>439686.80006827647</v>
      </c>
      <c r="M4" s="12">
        <v>14317.954303575905</v>
      </c>
      <c r="N4" s="12">
        <v>294476.56763990998</v>
      </c>
      <c r="O4" s="12">
        <v>60021.448427025651</v>
      </c>
      <c r="P4" s="12">
        <v>4596631.5153963622</v>
      </c>
    </row>
    <row r="5" spans="1:16" x14ac:dyDescent="0.25">
      <c r="A5" s="9" t="s">
        <v>151</v>
      </c>
      <c r="B5" s="12">
        <v>203429.5380458697</v>
      </c>
      <c r="C5" s="12">
        <v>94759.75169928126</v>
      </c>
      <c r="D5" s="12">
        <v>4641.4750648296767</v>
      </c>
      <c r="E5" s="12">
        <v>287317.39380976727</v>
      </c>
      <c r="F5" s="12">
        <v>33694.81999075169</v>
      </c>
      <c r="G5" s="12">
        <v>17398.989541991894</v>
      </c>
      <c r="H5" s="12">
        <v>50373.137279143528</v>
      </c>
      <c r="I5" s="12">
        <v>1031573.4662270324</v>
      </c>
      <c r="J5" s="12">
        <v>167450.10985792</v>
      </c>
      <c r="K5" s="12">
        <v>64106.424296888508</v>
      </c>
      <c r="L5" s="12">
        <v>178370.4980341382</v>
      </c>
      <c r="M5" s="12">
        <v>7217.327341387786</v>
      </c>
      <c r="N5" s="12">
        <v>148544.87759166464</v>
      </c>
      <c r="O5" s="12">
        <v>30280.062461594764</v>
      </c>
      <c r="P5" s="12">
        <v>2319157.871242261</v>
      </c>
    </row>
    <row r="6" spans="1:16" x14ac:dyDescent="0.25">
      <c r="A6" s="9" t="s">
        <v>152</v>
      </c>
      <c r="B6" s="12">
        <v>270217.89004586963</v>
      </c>
      <c r="C6" s="12">
        <v>93143.939406838675</v>
      </c>
      <c r="D6" s="12">
        <v>4560.2674097997915</v>
      </c>
      <c r="E6" s="12">
        <v>216528.31380976731</v>
      </c>
      <c r="F6" s="12">
        <v>66089.359990751676</v>
      </c>
      <c r="G6" s="12">
        <v>17095.512143016571</v>
      </c>
      <c r="H6" s="12">
        <v>49497.245929057186</v>
      </c>
      <c r="I6" s="12">
        <v>925588.0262270323</v>
      </c>
      <c r="J6" s="12">
        <v>127675.40669382243</v>
      </c>
      <c r="K6" s="12">
        <v>62987.67748814349</v>
      </c>
      <c r="L6" s="12">
        <v>261316.30203413824</v>
      </c>
      <c r="M6" s="12">
        <v>7100.6269621881202</v>
      </c>
      <c r="N6" s="12">
        <v>145931.69004824533</v>
      </c>
      <c r="O6" s="12">
        <v>29741.385965430891</v>
      </c>
      <c r="P6" s="12">
        <v>2277473.6441541016</v>
      </c>
    </row>
    <row r="7" spans="1:16" x14ac:dyDescent="0.25">
      <c r="A7" s="7">
        <v>2050</v>
      </c>
      <c r="B7" s="12">
        <v>317461.03200000001</v>
      </c>
      <c r="C7" s="12">
        <v>158320.19687565294</v>
      </c>
      <c r="D7" s="12">
        <v>7956.8722136070774</v>
      </c>
      <c r="E7" s="12">
        <v>578092.62</v>
      </c>
      <c r="F7" s="12">
        <v>105820.34399999998</v>
      </c>
      <c r="G7" s="12">
        <v>29735.26181091943</v>
      </c>
      <c r="H7" s="12">
        <v>85821.411085890169</v>
      </c>
      <c r="I7" s="12">
        <v>1759753.1279999996</v>
      </c>
      <c r="J7" s="12">
        <v>252321.33472101338</v>
      </c>
      <c r="K7" s="12">
        <v>109616.82606509331</v>
      </c>
      <c r="L7" s="12">
        <v>68587.260000000009</v>
      </c>
      <c r="M7" s="12">
        <v>11434.513214665723</v>
      </c>
      <c r="N7" s="12">
        <v>256044.81924180186</v>
      </c>
      <c r="O7" s="12">
        <v>178326.87599999999</v>
      </c>
      <c r="P7" s="12">
        <v>3919292.4952286435</v>
      </c>
    </row>
    <row r="8" spans="1:16" x14ac:dyDescent="0.25">
      <c r="A8" s="9" t="s">
        <v>151</v>
      </c>
      <c r="B8" s="12">
        <v>78385.440000000002</v>
      </c>
      <c r="C8" s="12">
        <v>79160.098437826469</v>
      </c>
      <c r="D8" s="12">
        <v>3978.4361068035387</v>
      </c>
      <c r="E8" s="12">
        <v>323339.94</v>
      </c>
      <c r="F8" s="12">
        <v>29394.539999999997</v>
      </c>
      <c r="G8" s="12">
        <v>14867.630905459715</v>
      </c>
      <c r="H8" s="12">
        <v>42910.705542945085</v>
      </c>
      <c r="I8" s="12">
        <v>956302.3679999999</v>
      </c>
      <c r="J8" s="12">
        <v>142581.71872101337</v>
      </c>
      <c r="K8" s="12">
        <v>54808.413032546661</v>
      </c>
      <c r="L8" s="12">
        <v>0</v>
      </c>
      <c r="M8" s="12">
        <v>5717.2566073328617</v>
      </c>
      <c r="N8" s="12">
        <v>128022.40962090093</v>
      </c>
      <c r="O8" s="12">
        <v>99941.435999999987</v>
      </c>
      <c r="P8" s="12">
        <v>1959410.3929748284</v>
      </c>
    </row>
    <row r="9" spans="1:16" x14ac:dyDescent="0.25">
      <c r="A9" s="9" t="s">
        <v>152</v>
      </c>
      <c r="B9" s="12">
        <v>239075.59199999998</v>
      </c>
      <c r="C9" s="12">
        <v>79160.098437826469</v>
      </c>
      <c r="D9" s="12">
        <v>3978.4361068035387</v>
      </c>
      <c r="E9" s="12">
        <v>254752.68</v>
      </c>
      <c r="F9" s="12">
        <v>76425.803999999989</v>
      </c>
      <c r="G9" s="12">
        <v>14867.630905459715</v>
      </c>
      <c r="H9" s="12">
        <v>42910.705542945085</v>
      </c>
      <c r="I9" s="12">
        <v>803450.75999999978</v>
      </c>
      <c r="J9" s="12">
        <v>109739.61599999999</v>
      </c>
      <c r="K9" s="12">
        <v>54808.413032546654</v>
      </c>
      <c r="L9" s="12">
        <v>68587.260000000009</v>
      </c>
      <c r="M9" s="12">
        <v>5717.2566073328617</v>
      </c>
      <c r="N9" s="12">
        <v>128022.40962090091</v>
      </c>
      <c r="O9" s="12">
        <v>78385.440000000002</v>
      </c>
      <c r="P9" s="12">
        <v>1959882.1022538149</v>
      </c>
    </row>
    <row r="10" spans="1:16" x14ac:dyDescent="0.25">
      <c r="A10" s="7" t="s">
        <v>88</v>
      </c>
      <c r="B10" s="12">
        <v>791108.46009173919</v>
      </c>
      <c r="C10" s="12">
        <v>346223.88798177289</v>
      </c>
      <c r="D10" s="12">
        <v>17158.614688236546</v>
      </c>
      <c r="E10" s="12">
        <v>1081938.3276195345</v>
      </c>
      <c r="F10" s="12">
        <v>205604.52398150336</v>
      </c>
      <c r="G10" s="12">
        <v>64229.763495927895</v>
      </c>
      <c r="H10" s="12">
        <v>185691.79429409088</v>
      </c>
      <c r="I10" s="12">
        <v>3716914.6204540641</v>
      </c>
      <c r="J10" s="12">
        <v>547446.85127275588</v>
      </c>
      <c r="K10" s="12">
        <v>236710.9278501253</v>
      </c>
      <c r="L10" s="12">
        <v>508274.06006827648</v>
      </c>
      <c r="M10" s="12">
        <v>25752.467518241632</v>
      </c>
      <c r="N10" s="12">
        <v>550521.38688171178</v>
      </c>
      <c r="O10" s="12">
        <v>238348.32442702563</v>
      </c>
      <c r="P10" s="12">
        <v>8515924.0106250048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9.710937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151</v>
      </c>
    </row>
    <row r="3" spans="1:16" x14ac:dyDescent="0.25">
      <c r="A3" s="6" t="s">
        <v>123</v>
      </c>
      <c r="B3" s="6" t="s">
        <v>89</v>
      </c>
    </row>
    <row r="4" spans="1:16" x14ac:dyDescent="0.25">
      <c r="A4" s="6" t="s">
        <v>87</v>
      </c>
      <c r="B4" t="s">
        <v>33</v>
      </c>
      <c r="C4" t="s">
        <v>74</v>
      </c>
      <c r="D4" t="s">
        <v>40</v>
      </c>
      <c r="E4" t="s">
        <v>52</v>
      </c>
      <c r="F4" t="s">
        <v>29</v>
      </c>
      <c r="G4" t="s">
        <v>77</v>
      </c>
      <c r="H4" t="s">
        <v>30</v>
      </c>
      <c r="I4" t="s">
        <v>28</v>
      </c>
      <c r="J4" t="s">
        <v>53</v>
      </c>
      <c r="K4" t="s">
        <v>79</v>
      </c>
      <c r="L4" t="s">
        <v>119</v>
      </c>
      <c r="M4" t="s">
        <v>64</v>
      </c>
      <c r="N4" t="s">
        <v>71</v>
      </c>
      <c r="O4" t="s">
        <v>54</v>
      </c>
      <c r="P4" t="s">
        <v>88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88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I10"/>
  <sheetViews>
    <sheetView workbookViewId="0">
      <selection activeCell="A6" sqref="A6"/>
    </sheetView>
  </sheetViews>
  <sheetFormatPr defaultRowHeight="15" x14ac:dyDescent="0.25"/>
  <cols>
    <col min="1" max="1" width="24" bestFit="1" customWidth="1"/>
    <col min="2" max="2" width="16.28515625" bestFit="1" customWidth="1"/>
    <col min="3" max="4" width="10.140625" bestFit="1" customWidth="1"/>
    <col min="5" max="5" width="10.85546875" bestFit="1" customWidth="1"/>
    <col min="6" max="6" width="12.140625" bestFit="1" customWidth="1"/>
    <col min="7" max="7" width="14.5703125" bestFit="1" customWidth="1"/>
    <col min="8" max="8" width="13.42578125" bestFit="1" customWidth="1"/>
    <col min="9" max="10" width="11.28515625" bestFit="1" customWidth="1"/>
    <col min="19" max="19" width="12" bestFit="1" customWidth="1"/>
  </cols>
  <sheetData>
    <row r="1" spans="1:9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9" x14ac:dyDescent="0.25">
      <c r="A2" s="6" t="s">
        <v>121</v>
      </c>
      <c r="B2" s="6" t="s">
        <v>89</v>
      </c>
    </row>
    <row r="3" spans="1:9" x14ac:dyDescent="0.25">
      <c r="A3" s="6" t="s">
        <v>87</v>
      </c>
      <c r="B3" t="s">
        <v>103</v>
      </c>
      <c r="C3" t="s">
        <v>105</v>
      </c>
      <c r="D3" t="s">
        <v>106</v>
      </c>
      <c r="E3" t="s">
        <v>111</v>
      </c>
      <c r="F3" t="s">
        <v>133</v>
      </c>
      <c r="G3" t="s">
        <v>136</v>
      </c>
      <c r="H3" t="s">
        <v>143</v>
      </c>
      <c r="I3" t="s">
        <v>88</v>
      </c>
    </row>
    <row r="4" spans="1:9" x14ac:dyDescent="0.25">
      <c r="A4" s="7">
        <v>2030</v>
      </c>
      <c r="B4" s="12">
        <v>12090779.286556549</v>
      </c>
      <c r="C4" s="12">
        <v>10191044.912826562</v>
      </c>
      <c r="D4" s="12">
        <v>12297250.11576708</v>
      </c>
      <c r="E4" s="12">
        <v>-6338990.2891869731</v>
      </c>
      <c r="F4" s="12">
        <v>-738932.40638661012</v>
      </c>
      <c r="G4" s="12">
        <v>-1892733.3333333328</v>
      </c>
      <c r="H4" s="12">
        <v>-1326312.8499321733</v>
      </c>
      <c r="I4" s="12">
        <v>24282105.4363111</v>
      </c>
    </row>
    <row r="5" spans="1:9" x14ac:dyDescent="0.25">
      <c r="A5" s="9" t="s">
        <v>153</v>
      </c>
      <c r="B5" s="12">
        <v>6057226.8675646102</v>
      </c>
      <c r="C5" s="12">
        <v>5507316.8818720337</v>
      </c>
      <c r="D5" s="12">
        <v>6201344.5662009642</v>
      </c>
      <c r="E5" s="12">
        <v>-2913194.2055750103</v>
      </c>
      <c r="F5" s="12">
        <v>-471658.98279996391</v>
      </c>
      <c r="G5" s="12">
        <v>-1566399.9999999995</v>
      </c>
      <c r="H5" s="12">
        <v>-649907.96053441195</v>
      </c>
      <c r="I5" s="12">
        <v>12164727.166728221</v>
      </c>
    </row>
    <row r="6" spans="1:9" x14ac:dyDescent="0.25">
      <c r="A6" s="9" t="s">
        <v>154</v>
      </c>
      <c r="B6" s="12">
        <v>6033552.4189919382</v>
      </c>
      <c r="C6" s="12">
        <v>4683728.0309545286</v>
      </c>
      <c r="D6" s="12">
        <v>6095905.5495661153</v>
      </c>
      <c r="E6" s="12">
        <v>-3425796.0836119633</v>
      </c>
      <c r="F6" s="12">
        <v>-267273.42358664621</v>
      </c>
      <c r="G6" s="12">
        <v>-326333.33333333326</v>
      </c>
      <c r="H6" s="12">
        <v>-676404.8893977612</v>
      </c>
      <c r="I6" s="12">
        <v>12117378.269582879</v>
      </c>
    </row>
    <row r="7" spans="1:9" x14ac:dyDescent="0.25">
      <c r="A7" s="7">
        <v>2050</v>
      </c>
      <c r="B7" s="12">
        <v>-80045.795413801563</v>
      </c>
      <c r="C7" s="12">
        <v>9329929.6555631217</v>
      </c>
      <c r="D7" s="12">
        <v>8923138.0115233697</v>
      </c>
      <c r="E7" s="12">
        <v>-10569798.170540441</v>
      </c>
      <c r="F7" s="12">
        <v>-871667.37725799019</v>
      </c>
      <c r="G7" s="12">
        <v>-2349599.9999999995</v>
      </c>
      <c r="H7" s="12">
        <v>-4441501.0515038548</v>
      </c>
      <c r="I7" s="12">
        <v>-59544.72762959823</v>
      </c>
    </row>
    <row r="8" spans="1:9" x14ac:dyDescent="0.25">
      <c r="A8" s="9" t="s">
        <v>153</v>
      </c>
      <c r="B8" s="12">
        <v>-129545.27456721739</v>
      </c>
      <c r="C8" s="12">
        <v>5485230.909845111</v>
      </c>
      <c r="D8" s="12">
        <v>4460901.710431071</v>
      </c>
      <c r="E8" s="12">
        <v>-5597107.7131175324</v>
      </c>
      <c r="F8" s="12">
        <v>-550526.76458399382</v>
      </c>
      <c r="G8" s="12">
        <v>-1696933.333333333</v>
      </c>
      <c r="H8" s="12">
        <v>-2180836.6522095371</v>
      </c>
      <c r="I8" s="12">
        <v>-208817.11753543187</v>
      </c>
    </row>
    <row r="9" spans="1:9" x14ac:dyDescent="0.25">
      <c r="A9" s="9" t="s">
        <v>154</v>
      </c>
      <c r="B9" s="12">
        <v>49499.479153415828</v>
      </c>
      <c r="C9" s="12">
        <v>3844698.7457180107</v>
      </c>
      <c r="D9" s="12">
        <v>4462236.3010922978</v>
      </c>
      <c r="E9" s="12">
        <v>-4972690.4574229093</v>
      </c>
      <c r="F9" s="12">
        <v>-321140.61267399631</v>
      </c>
      <c r="G9" s="12">
        <v>-652666.6666666664</v>
      </c>
      <c r="H9" s="12">
        <v>-2260664.3992943177</v>
      </c>
      <c r="I9" s="12">
        <v>149272.38990583364</v>
      </c>
    </row>
    <row r="10" spans="1:9" x14ac:dyDescent="0.25">
      <c r="A10" s="7" t="s">
        <v>88</v>
      </c>
      <c r="B10" s="12">
        <v>12010733.491142748</v>
      </c>
      <c r="C10" s="12">
        <v>19520974.568389684</v>
      </c>
      <c r="D10" s="12">
        <v>21220388.12729045</v>
      </c>
      <c r="E10" s="12">
        <v>-16908788.459727414</v>
      </c>
      <c r="F10" s="12">
        <v>-1610599.7836446001</v>
      </c>
      <c r="G10" s="12">
        <v>-4242333.3333333321</v>
      </c>
      <c r="H10" s="12">
        <v>-5767813.9014360281</v>
      </c>
      <c r="I10" s="12">
        <v>24222560.708681501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5" sqref="C5:I5"/>
    </sheetView>
  </sheetViews>
  <sheetFormatPr defaultRowHeight="15" x14ac:dyDescent="0.25"/>
  <cols>
    <col min="1" max="1" width="13.140625" bestFit="1" customWidth="1"/>
    <col min="2" max="2" width="19.710937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</cols>
  <sheetData>
    <row r="1" spans="1:10" x14ac:dyDescent="0.25">
      <c r="A1" s="6" t="s">
        <v>26</v>
      </c>
      <c r="B1" t="s">
        <v>151</v>
      </c>
    </row>
    <row r="3" spans="1:10" x14ac:dyDescent="0.25">
      <c r="A3" s="6" t="s">
        <v>121</v>
      </c>
      <c r="B3" s="6" t="s">
        <v>89</v>
      </c>
    </row>
    <row r="4" spans="1:10" x14ac:dyDescent="0.25">
      <c r="A4" s="6" t="s">
        <v>87</v>
      </c>
      <c r="B4" t="s">
        <v>103</v>
      </c>
      <c r="C4" t="s">
        <v>110</v>
      </c>
      <c r="D4" t="s">
        <v>105</v>
      </c>
      <c r="E4" t="s">
        <v>106</v>
      </c>
      <c r="F4" t="s">
        <v>111</v>
      </c>
      <c r="G4" t="s">
        <v>133</v>
      </c>
      <c r="H4" t="s">
        <v>136</v>
      </c>
      <c r="I4" t="s">
        <v>143</v>
      </c>
      <c r="J4" t="s">
        <v>88</v>
      </c>
    </row>
    <row r="5" spans="1:10" x14ac:dyDescent="0.25">
      <c r="A5" s="7">
        <v>2019</v>
      </c>
      <c r="B5" s="12">
        <v>13911562.11827757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-605900.32409827493</v>
      </c>
      <c r="J5" s="12">
        <v>27823124.236555133</v>
      </c>
    </row>
    <row r="6" spans="1:10" x14ac:dyDescent="0.25">
      <c r="A6" s="7" t="s">
        <v>88</v>
      </c>
      <c r="B6" s="12">
        <v>13911562.11827757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-605900.32409827493</v>
      </c>
      <c r="J6" s="12">
        <v>27823124.236555133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11"/>
  <sheetViews>
    <sheetView zoomScaleNormal="100" workbookViewId="0">
      <selection activeCell="B6" sqref="B6:U19"/>
    </sheetView>
  </sheetViews>
  <sheetFormatPr defaultRowHeight="15" x14ac:dyDescent="0.25"/>
  <cols>
    <col min="1" max="1" width="23.57031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141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140</v>
      </c>
    </row>
    <row r="2" spans="1:21" x14ac:dyDescent="0.25">
      <c r="B2" s="6" t="s">
        <v>89</v>
      </c>
    </row>
    <row r="3" spans="1:21" x14ac:dyDescent="0.25">
      <c r="B3" t="s">
        <v>72</v>
      </c>
      <c r="D3" t="s">
        <v>56</v>
      </c>
      <c r="F3" t="s">
        <v>75</v>
      </c>
      <c r="H3" t="s">
        <v>76</v>
      </c>
      <c r="J3" t="s">
        <v>78</v>
      </c>
      <c r="L3" t="s">
        <v>73</v>
      </c>
      <c r="N3" t="s">
        <v>80</v>
      </c>
      <c r="P3" t="s">
        <v>63</v>
      </c>
      <c r="R3" t="s">
        <v>139</v>
      </c>
      <c r="T3" t="s">
        <v>126</v>
      </c>
      <c r="U3" t="s">
        <v>125</v>
      </c>
    </row>
    <row r="4" spans="1:21" x14ac:dyDescent="0.25">
      <c r="A4" s="6" t="s">
        <v>87</v>
      </c>
      <c r="B4" t="s">
        <v>127</v>
      </c>
      <c r="C4" t="s">
        <v>124</v>
      </c>
      <c r="D4" t="s">
        <v>127</v>
      </c>
      <c r="E4" t="s">
        <v>124</v>
      </c>
      <c r="F4" t="s">
        <v>127</v>
      </c>
      <c r="G4" t="s">
        <v>124</v>
      </c>
      <c r="H4" t="s">
        <v>127</v>
      </c>
      <c r="I4" t="s">
        <v>124</v>
      </c>
      <c r="J4" t="s">
        <v>127</v>
      </c>
      <c r="K4" t="s">
        <v>124</v>
      </c>
      <c r="L4" t="s">
        <v>127</v>
      </c>
      <c r="M4" t="s">
        <v>124</v>
      </c>
      <c r="N4" t="s">
        <v>127</v>
      </c>
      <c r="O4" t="s">
        <v>124</v>
      </c>
      <c r="P4" t="s">
        <v>127</v>
      </c>
      <c r="Q4" t="s">
        <v>124</v>
      </c>
      <c r="R4" t="s">
        <v>127</v>
      </c>
      <c r="S4" t="s">
        <v>124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151</v>
      </c>
      <c r="B6" s="15">
        <v>14.892272288632798</v>
      </c>
      <c r="C6" s="15">
        <v>4.5503946356146914</v>
      </c>
      <c r="D6" s="15">
        <v>0</v>
      </c>
      <c r="E6" s="15">
        <v>2.1694819870080004</v>
      </c>
      <c r="F6" s="15">
        <v>9.2865089569685129</v>
      </c>
      <c r="G6" s="15">
        <v>0</v>
      </c>
      <c r="H6" s="15">
        <v>4.612600773620283</v>
      </c>
      <c r="I6" s="15">
        <v>0</v>
      </c>
      <c r="J6" s="15">
        <v>0.11923457768560886</v>
      </c>
      <c r="K6" s="15">
        <v>0</v>
      </c>
      <c r="L6" s="15">
        <v>1.0075925070623333</v>
      </c>
      <c r="M6" s="15">
        <v>15.723272303760728</v>
      </c>
      <c r="N6" s="15">
        <v>45.128720147879498</v>
      </c>
      <c r="O6" s="15">
        <v>0</v>
      </c>
      <c r="P6" s="15">
        <v>7.3789649812467619</v>
      </c>
      <c r="Q6" s="15">
        <v>0</v>
      </c>
      <c r="R6" s="15">
        <v>23.22239999999999</v>
      </c>
      <c r="S6" s="15">
        <v>0</v>
      </c>
      <c r="T6" s="15">
        <v>105.6482942330958</v>
      </c>
      <c r="U6" s="15">
        <v>22.443148926383422</v>
      </c>
    </row>
    <row r="7" spans="1:21" x14ac:dyDescent="0.25">
      <c r="A7" s="9" t="s">
        <v>152</v>
      </c>
      <c r="B7" s="15">
        <v>21.127438453286228</v>
      </c>
      <c r="C7" s="15">
        <v>5.3593897439621312</v>
      </c>
      <c r="D7" s="15">
        <v>0</v>
      </c>
      <c r="E7" s="15">
        <v>2.1694819870080004</v>
      </c>
      <c r="F7" s="15">
        <v>2.8554559936120825</v>
      </c>
      <c r="G7" s="15">
        <v>0</v>
      </c>
      <c r="H7" s="15">
        <v>3.9188708150203651</v>
      </c>
      <c r="I7" s="15">
        <v>4.6124319999999992</v>
      </c>
      <c r="J7" s="15">
        <v>0.15417533765718927</v>
      </c>
      <c r="K7" s="15">
        <v>0</v>
      </c>
      <c r="L7" s="15">
        <v>1.7284232885336528</v>
      </c>
      <c r="M7" s="15">
        <v>8.9351415839125394</v>
      </c>
      <c r="N7" s="15">
        <v>44.952059224144797</v>
      </c>
      <c r="O7" s="15">
        <v>0</v>
      </c>
      <c r="P7" s="15">
        <v>6.7752743286365096</v>
      </c>
      <c r="Q7" s="15">
        <v>0</v>
      </c>
      <c r="R7" s="15">
        <v>4.8379999999999992</v>
      </c>
      <c r="S7" s="15">
        <v>0</v>
      </c>
      <c r="T7" s="15">
        <v>86.349697440890822</v>
      </c>
      <c r="U7" s="15">
        <v>21.076445314882669</v>
      </c>
    </row>
    <row r="8" spans="1:21" x14ac:dyDescent="0.25">
      <c r="A8" s="7">
        <v>2050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9" t="s">
        <v>151</v>
      </c>
      <c r="B9" s="15">
        <v>10.276021090321604</v>
      </c>
      <c r="C9" s="15">
        <v>6.0880208355368062</v>
      </c>
      <c r="D9" s="15">
        <v>0</v>
      </c>
      <c r="E9" s="15">
        <v>2.1694819870080004</v>
      </c>
      <c r="F9" s="15">
        <v>1.7637268968478974</v>
      </c>
      <c r="G9" s="15">
        <v>0</v>
      </c>
      <c r="H9" s="15">
        <v>3.7569119002626761</v>
      </c>
      <c r="I9" s="15">
        <v>0</v>
      </c>
      <c r="J9" s="15">
        <v>2.4697056400855601E-2</v>
      </c>
      <c r="K9" s="15">
        <v>0</v>
      </c>
      <c r="L9" s="15">
        <v>0.42231957525140529</v>
      </c>
      <c r="M9" s="15">
        <v>18.741037268423657</v>
      </c>
      <c r="N9" s="15">
        <v>49.62551926634071</v>
      </c>
      <c r="O9" s="15">
        <v>0</v>
      </c>
      <c r="P9" s="15">
        <v>6.6839322256903859</v>
      </c>
      <c r="Q9" s="15">
        <v>0</v>
      </c>
      <c r="R9" s="15">
        <v>25.157599999999992</v>
      </c>
      <c r="S9" s="15">
        <v>0</v>
      </c>
      <c r="T9" s="15">
        <v>97.710728011115521</v>
      </c>
      <c r="U9" s="15">
        <v>26.998540090968461</v>
      </c>
    </row>
    <row r="10" spans="1:21" x14ac:dyDescent="0.25">
      <c r="A10" s="9" t="s">
        <v>152</v>
      </c>
      <c r="B10" s="15">
        <v>20.013296105177979</v>
      </c>
      <c r="C10" s="15">
        <v>6.6897770905091694</v>
      </c>
      <c r="D10" s="15">
        <v>0</v>
      </c>
      <c r="E10" s="15">
        <v>2.1694819870080004</v>
      </c>
      <c r="F10" s="15">
        <v>1.8180875246518127</v>
      </c>
      <c r="G10" s="15">
        <v>0</v>
      </c>
      <c r="H10" s="15">
        <v>4.3091976198127346</v>
      </c>
      <c r="I10" s="15">
        <v>1.4413849999999999</v>
      </c>
      <c r="J10" s="15">
        <v>0.12212607406074069</v>
      </c>
      <c r="K10" s="15">
        <v>0</v>
      </c>
      <c r="L10" s="15">
        <v>0.75410839768439053</v>
      </c>
      <c r="M10" s="15">
        <v>11.005910934884939</v>
      </c>
      <c r="N10" s="15">
        <v>49.142255338626718</v>
      </c>
      <c r="O10" s="15">
        <v>0</v>
      </c>
      <c r="P10" s="15">
        <v>5.8121149788612056</v>
      </c>
      <c r="Q10" s="15">
        <v>0</v>
      </c>
      <c r="R10" s="15">
        <v>9.6759999999999948</v>
      </c>
      <c r="S10" s="15">
        <v>0</v>
      </c>
      <c r="T10" s="15">
        <v>91.647186038875589</v>
      </c>
      <c r="U10" s="15">
        <v>21.306555012402107</v>
      </c>
    </row>
    <row r="11" spans="1:21" x14ac:dyDescent="0.25">
      <c r="A11" s="7" t="s">
        <v>88</v>
      </c>
      <c r="B11" s="15">
        <v>66.30902793741862</v>
      </c>
      <c r="C11" s="15">
        <v>22.687582305622797</v>
      </c>
      <c r="D11" s="15">
        <v>0</v>
      </c>
      <c r="E11" s="15">
        <v>8.6779279480320017</v>
      </c>
      <c r="F11" s="15">
        <v>15.723779372080305</v>
      </c>
      <c r="G11" s="15">
        <v>0</v>
      </c>
      <c r="H11" s="15">
        <v>16.59758110871606</v>
      </c>
      <c r="I11" s="15">
        <v>6.0538169999999987</v>
      </c>
      <c r="J11" s="15">
        <v>0.42023304580439447</v>
      </c>
      <c r="K11" s="15">
        <v>0</v>
      </c>
      <c r="L11" s="15">
        <v>3.9124437685317819</v>
      </c>
      <c r="M11" s="15">
        <v>54.405362090981868</v>
      </c>
      <c r="N11" s="15">
        <v>188.84855397699172</v>
      </c>
      <c r="O11" s="15">
        <v>0</v>
      </c>
      <c r="P11" s="15">
        <v>26.650286514434864</v>
      </c>
      <c r="Q11" s="15">
        <v>0</v>
      </c>
      <c r="R11" s="15">
        <v>62.89399999999997</v>
      </c>
      <c r="S11" s="15">
        <v>0</v>
      </c>
      <c r="T11" s="15">
        <v>381.35590572397774</v>
      </c>
      <c r="U11" s="15">
        <v>91.824689344636653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151</v>
      </c>
    </row>
    <row r="3" spans="1:21" x14ac:dyDescent="0.25">
      <c r="B3" s="6" t="s">
        <v>89</v>
      </c>
    </row>
    <row r="4" spans="1:21" x14ac:dyDescent="0.25">
      <c r="B4" t="s">
        <v>72</v>
      </c>
      <c r="D4" t="s">
        <v>56</v>
      </c>
      <c r="F4" t="s">
        <v>75</v>
      </c>
      <c r="H4" t="s">
        <v>76</v>
      </c>
      <c r="J4" t="s">
        <v>78</v>
      </c>
      <c r="L4" t="s">
        <v>73</v>
      </c>
      <c r="N4" t="s">
        <v>80</v>
      </c>
      <c r="P4" t="s">
        <v>63</v>
      </c>
      <c r="R4" t="s">
        <v>139</v>
      </c>
      <c r="T4" t="s">
        <v>126</v>
      </c>
      <c r="U4" t="s">
        <v>125</v>
      </c>
    </row>
    <row r="5" spans="1:21" x14ac:dyDescent="0.25">
      <c r="A5" s="6" t="s">
        <v>87</v>
      </c>
      <c r="B5" t="s">
        <v>127</v>
      </c>
      <c r="C5" t="s">
        <v>124</v>
      </c>
      <c r="D5" t="s">
        <v>127</v>
      </c>
      <c r="E5" t="s">
        <v>124</v>
      </c>
      <c r="F5" t="s">
        <v>127</v>
      </c>
      <c r="G5" t="s">
        <v>124</v>
      </c>
      <c r="H5" t="s">
        <v>127</v>
      </c>
      <c r="I5" t="s">
        <v>124</v>
      </c>
      <c r="J5" t="s">
        <v>127</v>
      </c>
      <c r="K5" t="s">
        <v>124</v>
      </c>
      <c r="L5" t="s">
        <v>127</v>
      </c>
      <c r="M5" t="s">
        <v>124</v>
      </c>
      <c r="N5" t="s">
        <v>127</v>
      </c>
      <c r="O5" t="s">
        <v>124</v>
      </c>
      <c r="P5" t="s">
        <v>127</v>
      </c>
      <c r="Q5" t="s">
        <v>124</v>
      </c>
      <c r="R5" t="s">
        <v>127</v>
      </c>
      <c r="S5" t="s">
        <v>124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19.573590488557194</v>
      </c>
      <c r="I6" s="15">
        <v>0.45076703431999998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47.489094924341856</v>
      </c>
      <c r="O6" s="15">
        <v>0</v>
      </c>
      <c r="P6" s="15">
        <v>3.951047127829578</v>
      </c>
      <c r="Q6" s="15">
        <v>0</v>
      </c>
      <c r="R6" s="15">
        <v>0</v>
      </c>
      <c r="S6" s="15">
        <v>0</v>
      </c>
      <c r="T6" s="15">
        <v>88.55766306523094</v>
      </c>
      <c r="U6" s="15">
        <v>16.615858669715003</v>
      </c>
    </row>
    <row r="7" spans="1:21" x14ac:dyDescent="0.25">
      <c r="A7" s="7" t="s">
        <v>88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19.573590488557194</v>
      </c>
      <c r="I7" s="15">
        <v>0.45076703431999998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47.489094924341856</v>
      </c>
      <c r="O7" s="15">
        <v>0</v>
      </c>
      <c r="P7" s="15">
        <v>3.951047127829578</v>
      </c>
      <c r="Q7" s="15">
        <v>0</v>
      </c>
      <c r="R7" s="15">
        <v>0</v>
      </c>
      <c r="S7" s="15">
        <v>0</v>
      </c>
      <c r="T7" s="15">
        <v>88.55766306523094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10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141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8000000</v>
      </c>
    </row>
    <row r="2" spans="1:9" x14ac:dyDescent="0.25">
      <c r="A2" s="6" t="s">
        <v>128</v>
      </c>
      <c r="B2" s="6" t="s">
        <v>89</v>
      </c>
    </row>
    <row r="3" spans="1:9" x14ac:dyDescent="0.25">
      <c r="A3" s="6" t="s">
        <v>87</v>
      </c>
      <c r="B3" t="s">
        <v>72</v>
      </c>
      <c r="C3" t="s">
        <v>73</v>
      </c>
      <c r="D3" t="s">
        <v>56</v>
      </c>
      <c r="E3" t="s">
        <v>75</v>
      </c>
      <c r="F3" t="s">
        <v>76</v>
      </c>
      <c r="G3" t="s">
        <v>78</v>
      </c>
      <c r="H3" t="s">
        <v>80</v>
      </c>
      <c r="I3" t="s">
        <v>88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151</v>
      </c>
      <c r="B5" s="12">
        <v>1194753.6875528663</v>
      </c>
      <c r="C5" s="12">
        <v>2258106.9888264169</v>
      </c>
      <c r="D5" s="12">
        <v>128467.8</v>
      </c>
      <c r="E5" s="12">
        <v>979281.54647358786</v>
      </c>
      <c r="F5" s="12">
        <v>387069.34046920342</v>
      </c>
      <c r="G5" s="12">
        <v>19927.784571410946</v>
      </c>
      <c r="H5" s="12">
        <v>1501501.6350903469</v>
      </c>
      <c r="I5" s="12">
        <v>6469108.7829838321</v>
      </c>
    </row>
    <row r="6" spans="1:9" x14ac:dyDescent="0.25">
      <c r="A6" s="9" t="s">
        <v>152</v>
      </c>
      <c r="B6" s="12">
        <v>1163069.4443068176</v>
      </c>
      <c r="C6" s="12">
        <v>1444319.4903634591</v>
      </c>
      <c r="D6" s="12">
        <v>128467.8</v>
      </c>
      <c r="E6" s="12">
        <v>301341.05223171273</v>
      </c>
      <c r="F6" s="12">
        <v>1003388.751348896</v>
      </c>
      <c r="G6" s="12">
        <v>25767.465903708511</v>
      </c>
      <c r="H6" s="12">
        <v>1498561.7341851683</v>
      </c>
      <c r="I6" s="12">
        <v>5564915.7383397622</v>
      </c>
    </row>
    <row r="7" spans="1:9" x14ac:dyDescent="0.25">
      <c r="A7" s="7">
        <v>2050</v>
      </c>
      <c r="B7" s="12"/>
      <c r="C7" s="12"/>
      <c r="D7" s="12"/>
      <c r="E7" s="12"/>
      <c r="F7" s="12"/>
      <c r="G7" s="12"/>
      <c r="H7" s="12"/>
      <c r="I7" s="12"/>
    </row>
    <row r="8" spans="1:9" x14ac:dyDescent="0.25">
      <c r="A8" s="9" t="s">
        <v>151</v>
      </c>
      <c r="B8" s="12">
        <v>1243092.4748212171</v>
      </c>
      <c r="C8" s="12">
        <v>2587779.5754546919</v>
      </c>
      <c r="D8" s="12">
        <v>128467.8</v>
      </c>
      <c r="E8" s="12">
        <v>183517.13631810129</v>
      </c>
      <c r="F8" s="12">
        <v>312819.72155873431</v>
      </c>
      <c r="G8" s="12">
        <v>4127.6417383045564</v>
      </c>
      <c r="H8" s="12">
        <v>1661867.4719710448</v>
      </c>
      <c r="I8" s="12">
        <v>6121671.8218620941</v>
      </c>
    </row>
    <row r="9" spans="1:9" x14ac:dyDescent="0.25">
      <c r="A9" s="9" t="s">
        <v>152</v>
      </c>
      <c r="B9" s="12">
        <v>1174348.2607910959</v>
      </c>
      <c r="C9" s="12">
        <v>1590506.9980356379</v>
      </c>
      <c r="D9" s="12">
        <v>128467.8</v>
      </c>
      <c r="E9" s="12">
        <v>231279.14109548816</v>
      </c>
      <c r="F9" s="12">
        <v>568388.64590456628</v>
      </c>
      <c r="G9" s="12">
        <v>20411.043018508193</v>
      </c>
      <c r="H9" s="12">
        <v>1649494.2586561085</v>
      </c>
      <c r="I9" s="12">
        <v>5362896.1475014044</v>
      </c>
    </row>
    <row r="10" spans="1:9" x14ac:dyDescent="0.25">
      <c r="A10" s="7" t="s">
        <v>88</v>
      </c>
      <c r="B10" s="12">
        <v>4775263.8674719967</v>
      </c>
      <c r="C10" s="12">
        <v>7880713.0526802056</v>
      </c>
      <c r="D10" s="12">
        <v>513871.2</v>
      </c>
      <c r="E10" s="12">
        <v>1695418.87611889</v>
      </c>
      <c r="F10" s="12">
        <v>2271666.4592813998</v>
      </c>
      <c r="G10" s="12">
        <v>70233.935231932206</v>
      </c>
      <c r="H10" s="12">
        <v>6311425.099902669</v>
      </c>
      <c r="I10" s="12">
        <v>23518592.490687095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151</v>
      </c>
    </row>
    <row r="3" spans="1:10" x14ac:dyDescent="0.25">
      <c r="A3" s="6" t="s">
        <v>128</v>
      </c>
      <c r="B3" s="6" t="s">
        <v>89</v>
      </c>
    </row>
    <row r="4" spans="1:10" x14ac:dyDescent="0.25">
      <c r="A4" s="6" t="s">
        <v>87</v>
      </c>
      <c r="B4" t="s">
        <v>72</v>
      </c>
      <c r="C4" t="s">
        <v>73</v>
      </c>
      <c r="D4" t="s">
        <v>56</v>
      </c>
      <c r="E4" t="s">
        <v>75</v>
      </c>
      <c r="F4" t="s">
        <v>76</v>
      </c>
      <c r="G4" t="s">
        <v>78</v>
      </c>
      <c r="H4" t="s">
        <v>80</v>
      </c>
      <c r="I4" t="s">
        <v>139</v>
      </c>
      <c r="J4" t="s">
        <v>88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128726.35999999999</v>
      </c>
      <c r="F5" s="12">
        <v>1675417.9906552273</v>
      </c>
      <c r="G5" s="12">
        <v>0</v>
      </c>
      <c r="H5" s="12">
        <v>1575873.4784311759</v>
      </c>
      <c r="I5" s="12">
        <v>0</v>
      </c>
      <c r="J5" s="12">
        <v>5289806.6849197373</v>
      </c>
    </row>
    <row r="6" spans="1:10" x14ac:dyDescent="0.25">
      <c r="A6" s="7" t="s">
        <v>88</v>
      </c>
      <c r="B6" s="12">
        <v>1077304.9400000002</v>
      </c>
      <c r="C6" s="12">
        <v>704016.11583333346</v>
      </c>
      <c r="D6" s="12">
        <v>128467.8</v>
      </c>
      <c r="E6" s="12">
        <v>128726.35999999999</v>
      </c>
      <c r="F6" s="12">
        <v>1675417.9906552273</v>
      </c>
      <c r="G6" s="12">
        <v>0</v>
      </c>
      <c r="H6" s="12">
        <v>1575873.4784311759</v>
      </c>
      <c r="I6" s="12">
        <v>0</v>
      </c>
      <c r="J6" s="12">
        <v>5289806.6849197373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14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19.85546875" bestFit="1" customWidth="1"/>
    <col min="3" max="10" width="14.5703125" bestFit="1" customWidth="1"/>
    <col min="11" max="11" width="11.28515625" bestFit="1" customWidth="1"/>
    <col min="12" max="14" width="14.5703125" bestFit="1" customWidth="1"/>
    <col min="15" max="15" width="11.28515625" bestFit="1" customWidth="1"/>
    <col min="16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132</v>
      </c>
      <c r="B1" s="7">
        <v>1</v>
      </c>
    </row>
    <row r="3" spans="1:11" x14ac:dyDescent="0.25">
      <c r="A3" s="6" t="s">
        <v>134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47</v>
      </c>
      <c r="D4" t="s">
        <v>59</v>
      </c>
      <c r="E4" t="s">
        <v>40</v>
      </c>
      <c r="F4" t="s">
        <v>56</v>
      </c>
      <c r="G4" t="s">
        <v>29</v>
      </c>
      <c r="H4" t="s">
        <v>62</v>
      </c>
      <c r="I4" t="s">
        <v>48</v>
      </c>
      <c r="J4" t="s">
        <v>68</v>
      </c>
      <c r="K4" t="s">
        <v>88</v>
      </c>
    </row>
    <row r="5" spans="1:11" x14ac:dyDescent="0.25">
      <c r="A5">
        <v>2019</v>
      </c>
      <c r="B5" t="s">
        <v>151</v>
      </c>
      <c r="C5" s="12">
        <v>370459.67448149773</v>
      </c>
      <c r="D5" s="12">
        <v>0</v>
      </c>
      <c r="E5" s="12">
        <v>420629.98984142789</v>
      </c>
      <c r="F5" s="12">
        <v>142742</v>
      </c>
      <c r="G5" s="12">
        <v>203649.62100550608</v>
      </c>
      <c r="H5" s="12">
        <v>5421074.2654714445</v>
      </c>
      <c r="I5" s="12">
        <v>282332.03034110228</v>
      </c>
      <c r="J5" s="12">
        <v>944815.08868008247</v>
      </c>
      <c r="K5" s="12">
        <v>7785702.6698210603</v>
      </c>
    </row>
    <row r="6" spans="1:11" x14ac:dyDescent="0.25">
      <c r="B6" t="s">
        <v>152</v>
      </c>
      <c r="C6" s="12">
        <v>370459.67448149773</v>
      </c>
      <c r="D6" s="12">
        <v>0</v>
      </c>
      <c r="E6" s="12">
        <v>420629.98984142789</v>
      </c>
      <c r="F6" s="12">
        <v>142742</v>
      </c>
      <c r="G6" s="12">
        <v>203649.62100550608</v>
      </c>
      <c r="H6" s="12">
        <v>5421074.2654714445</v>
      </c>
      <c r="I6" s="12">
        <v>282332.03034110228</v>
      </c>
      <c r="J6" s="12">
        <v>944815.08868008247</v>
      </c>
      <c r="K6" s="12">
        <v>7785702.6698210603</v>
      </c>
    </row>
    <row r="7" spans="1:11" x14ac:dyDescent="0.25">
      <c r="A7" t="s">
        <v>129</v>
      </c>
      <c r="C7" s="12">
        <v>740919.34896299546</v>
      </c>
      <c r="D7" s="12">
        <v>0</v>
      </c>
      <c r="E7" s="12">
        <v>841259.97968285577</v>
      </c>
      <c r="F7" s="12">
        <v>285484</v>
      </c>
      <c r="G7" s="12">
        <v>407299.24201101216</v>
      </c>
      <c r="H7" s="12">
        <v>10842148.530942889</v>
      </c>
      <c r="I7" s="12">
        <v>564664.06068220455</v>
      </c>
      <c r="J7" s="12">
        <v>1889630.1773601649</v>
      </c>
      <c r="K7" s="12">
        <v>15571405.339642121</v>
      </c>
    </row>
    <row r="8" spans="1:11" x14ac:dyDescent="0.25">
      <c r="A8">
        <v>2030</v>
      </c>
      <c r="B8" t="s">
        <v>151</v>
      </c>
      <c r="C8" s="12">
        <v>0</v>
      </c>
      <c r="D8" s="12">
        <v>22517.780101574506</v>
      </c>
      <c r="E8" s="12">
        <v>441368.4647574416</v>
      </c>
      <c r="F8" s="12">
        <v>142742</v>
      </c>
      <c r="G8" s="12">
        <v>0</v>
      </c>
      <c r="H8" s="12">
        <v>2710537.1327357218</v>
      </c>
      <c r="I8" s="12">
        <v>0</v>
      </c>
      <c r="J8" s="12">
        <v>885192.58896557917</v>
      </c>
      <c r="K8" s="12">
        <v>4202357.9665603172</v>
      </c>
    </row>
    <row r="9" spans="1:11" x14ac:dyDescent="0.25">
      <c r="B9" t="s">
        <v>152</v>
      </c>
      <c r="C9" s="12">
        <v>0</v>
      </c>
      <c r="D9" s="12">
        <v>19237.027192550144</v>
      </c>
      <c r="E9" s="12">
        <v>444626.78664658521</v>
      </c>
      <c r="F9" s="12">
        <v>142742</v>
      </c>
      <c r="G9" s="12">
        <v>0</v>
      </c>
      <c r="H9" s="12">
        <v>2321763.5049546235</v>
      </c>
      <c r="I9" s="12">
        <v>0</v>
      </c>
      <c r="J9" s="12">
        <v>1321939.1550074141</v>
      </c>
      <c r="K9" s="12">
        <v>4250308.4738011723</v>
      </c>
    </row>
    <row r="10" spans="1:11" x14ac:dyDescent="0.25">
      <c r="A10" t="s">
        <v>130</v>
      </c>
      <c r="C10" s="12">
        <v>0</v>
      </c>
      <c r="D10" s="12">
        <v>41754.80729412465</v>
      </c>
      <c r="E10" s="12">
        <v>885995.25140402676</v>
      </c>
      <c r="F10" s="12">
        <v>285484</v>
      </c>
      <c r="G10" s="12">
        <v>0</v>
      </c>
      <c r="H10" s="12">
        <v>5032300.6376903448</v>
      </c>
      <c r="I10" s="12">
        <v>0</v>
      </c>
      <c r="J10" s="12">
        <v>2207131.7439729935</v>
      </c>
      <c r="K10" s="12">
        <v>8452666.4403614886</v>
      </c>
    </row>
    <row r="11" spans="1:11" x14ac:dyDescent="0.25">
      <c r="A11">
        <v>2050</v>
      </c>
      <c r="B11" t="s">
        <v>151</v>
      </c>
      <c r="C11" s="12">
        <v>0</v>
      </c>
      <c r="D11" s="12">
        <v>13301.200339069677</v>
      </c>
      <c r="E11" s="12">
        <v>465853.44584960933</v>
      </c>
      <c r="F11" s="12">
        <v>142742</v>
      </c>
      <c r="G11" s="12">
        <v>0</v>
      </c>
      <c r="H11" s="12">
        <v>0</v>
      </c>
      <c r="I11" s="12">
        <v>0</v>
      </c>
      <c r="J11" s="12">
        <v>696374.77741708257</v>
      </c>
      <c r="K11" s="12">
        <v>1318271.4236057615</v>
      </c>
    </row>
    <row r="12" spans="1:11" x14ac:dyDescent="0.25">
      <c r="B12" t="s">
        <v>152</v>
      </c>
      <c r="C12" s="12">
        <v>0</v>
      </c>
      <c r="D12" s="12">
        <v>0</v>
      </c>
      <c r="E12" s="12">
        <v>470538.72721837705</v>
      </c>
      <c r="F12" s="12">
        <v>142742</v>
      </c>
      <c r="G12" s="12">
        <v>0</v>
      </c>
      <c r="H12" s="12">
        <v>0</v>
      </c>
      <c r="I12" s="12">
        <v>0</v>
      </c>
      <c r="J12" s="12">
        <v>1504173.0529964124</v>
      </c>
      <c r="K12" s="12">
        <v>2117453.7802147893</v>
      </c>
    </row>
    <row r="13" spans="1:11" x14ac:dyDescent="0.25">
      <c r="A13" t="s">
        <v>131</v>
      </c>
      <c r="C13" s="12">
        <v>0</v>
      </c>
      <c r="D13" s="12">
        <v>13301.200339069677</v>
      </c>
      <c r="E13" s="12">
        <v>936392.17306798638</v>
      </c>
      <c r="F13" s="12">
        <v>285484</v>
      </c>
      <c r="G13" s="12">
        <v>0</v>
      </c>
      <c r="H13" s="12">
        <v>0</v>
      </c>
      <c r="I13" s="12">
        <v>0</v>
      </c>
      <c r="J13" s="12">
        <v>2200547.8304134952</v>
      </c>
      <c r="K13" s="12">
        <v>3435725.2038205508</v>
      </c>
    </row>
    <row r="14" spans="1:11" x14ac:dyDescent="0.25">
      <c r="A14" t="s">
        <v>88</v>
      </c>
      <c r="C14" s="12">
        <v>740919.34896299546</v>
      </c>
      <c r="D14" s="12">
        <v>55056.007633194327</v>
      </c>
      <c r="E14" s="12">
        <v>2663647.4041548688</v>
      </c>
      <c r="F14" s="12">
        <v>856452</v>
      </c>
      <c r="G14" s="12">
        <v>407299.24201101216</v>
      </c>
      <c r="H14" s="12">
        <v>15874449.168633236</v>
      </c>
      <c r="I14" s="12">
        <v>564664.06068220455</v>
      </c>
      <c r="J14" s="12">
        <v>6297309.7517466545</v>
      </c>
      <c r="K14" s="12">
        <v>27459796.983824164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829"/>
  <sheetViews>
    <sheetView topLeftCell="A397" workbookViewId="0">
      <selection activeCell="B416" sqref="B416:F829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151</v>
      </c>
      <c r="B2" t="s">
        <v>10</v>
      </c>
      <c r="C2" t="s">
        <v>27</v>
      </c>
      <c r="D2" t="s">
        <v>28</v>
      </c>
      <c r="E2">
        <v>2019</v>
      </c>
      <c r="F2">
        <v>286329.90483694919</v>
      </c>
    </row>
    <row r="3" spans="1:6" x14ac:dyDescent="0.25">
      <c r="A3" t="s">
        <v>151</v>
      </c>
      <c r="B3" t="s">
        <v>10</v>
      </c>
      <c r="C3" t="s">
        <v>27</v>
      </c>
      <c r="D3" t="s">
        <v>29</v>
      </c>
      <c r="E3">
        <v>2019</v>
      </c>
      <c r="F3">
        <v>261374.54615849949</v>
      </c>
    </row>
    <row r="4" spans="1:6" x14ac:dyDescent="0.25">
      <c r="A4" t="s">
        <v>151</v>
      </c>
      <c r="B4" t="s">
        <v>10</v>
      </c>
      <c r="C4" t="s">
        <v>27</v>
      </c>
      <c r="D4" t="s">
        <v>30</v>
      </c>
      <c r="E4">
        <v>2019</v>
      </c>
      <c r="F4">
        <v>119523.03367046962</v>
      </c>
    </row>
    <row r="5" spans="1:6" x14ac:dyDescent="0.25">
      <c r="A5" t="s">
        <v>151</v>
      </c>
      <c r="B5" t="s">
        <v>10</v>
      </c>
      <c r="C5" t="s">
        <v>27</v>
      </c>
      <c r="D5" t="s">
        <v>31</v>
      </c>
      <c r="E5">
        <v>2019</v>
      </c>
      <c r="F5">
        <v>117920.63695532705</v>
      </c>
    </row>
    <row r="6" spans="1:6" x14ac:dyDescent="0.25">
      <c r="A6" t="s">
        <v>151</v>
      </c>
      <c r="B6" t="s">
        <v>10</v>
      </c>
      <c r="C6" t="s">
        <v>27</v>
      </c>
      <c r="D6" t="s">
        <v>32</v>
      </c>
      <c r="E6">
        <v>2019</v>
      </c>
      <c r="F6">
        <v>58080.313724265572</v>
      </c>
    </row>
    <row r="7" spans="1:6" x14ac:dyDescent="0.25">
      <c r="A7" t="s">
        <v>151</v>
      </c>
      <c r="B7" t="s">
        <v>10</v>
      </c>
      <c r="C7" t="s">
        <v>27</v>
      </c>
      <c r="D7" t="s">
        <v>33</v>
      </c>
      <c r="E7">
        <v>2019</v>
      </c>
      <c r="F7">
        <v>0</v>
      </c>
    </row>
    <row r="8" spans="1:6" x14ac:dyDescent="0.25">
      <c r="A8" t="s">
        <v>151</v>
      </c>
      <c r="B8" t="s">
        <v>10</v>
      </c>
      <c r="C8" t="s">
        <v>27</v>
      </c>
      <c r="D8" t="s">
        <v>34</v>
      </c>
      <c r="E8">
        <v>2019</v>
      </c>
      <c r="F8">
        <v>0</v>
      </c>
    </row>
    <row r="9" spans="1:6" x14ac:dyDescent="0.25">
      <c r="A9" t="s">
        <v>151</v>
      </c>
      <c r="B9" t="s">
        <v>10</v>
      </c>
      <c r="C9" t="s">
        <v>27</v>
      </c>
      <c r="D9" t="s">
        <v>35</v>
      </c>
      <c r="E9">
        <v>2019</v>
      </c>
      <c r="F9">
        <v>0</v>
      </c>
    </row>
    <row r="10" spans="1:6" x14ac:dyDescent="0.25">
      <c r="A10" t="s">
        <v>151</v>
      </c>
      <c r="B10" t="s">
        <v>10</v>
      </c>
      <c r="C10" t="s">
        <v>27</v>
      </c>
      <c r="D10" t="s">
        <v>36</v>
      </c>
      <c r="E10">
        <v>2019</v>
      </c>
      <c r="F10">
        <v>0</v>
      </c>
    </row>
    <row r="11" spans="1:6" x14ac:dyDescent="0.25">
      <c r="A11" t="s">
        <v>151</v>
      </c>
      <c r="B11" t="s">
        <v>10</v>
      </c>
      <c r="C11" t="s">
        <v>27</v>
      </c>
      <c r="D11" t="s">
        <v>37</v>
      </c>
      <c r="E11">
        <v>2019</v>
      </c>
      <c r="F11">
        <v>457077.09579476295</v>
      </c>
    </row>
    <row r="12" spans="1:6" x14ac:dyDescent="0.25">
      <c r="A12" t="s">
        <v>151</v>
      </c>
      <c r="B12" t="s">
        <v>10</v>
      </c>
      <c r="C12" t="s">
        <v>27</v>
      </c>
      <c r="D12" t="s">
        <v>38</v>
      </c>
      <c r="E12">
        <v>2019</v>
      </c>
      <c r="F12">
        <v>34149.438191562753</v>
      </c>
    </row>
    <row r="13" spans="1:6" x14ac:dyDescent="0.25">
      <c r="A13" t="s">
        <v>151</v>
      </c>
      <c r="B13" t="s">
        <v>10</v>
      </c>
      <c r="C13" t="s">
        <v>27</v>
      </c>
      <c r="D13" t="s">
        <v>39</v>
      </c>
      <c r="E13">
        <v>2019</v>
      </c>
      <c r="F13">
        <v>31522.55833067331</v>
      </c>
    </row>
    <row r="14" spans="1:6" x14ac:dyDescent="0.25">
      <c r="A14" t="s">
        <v>151</v>
      </c>
      <c r="B14" t="s">
        <v>10</v>
      </c>
      <c r="C14" t="s">
        <v>27</v>
      </c>
      <c r="D14" t="s">
        <v>40</v>
      </c>
      <c r="E14">
        <v>2019</v>
      </c>
      <c r="F14">
        <v>249553.58678449702</v>
      </c>
    </row>
    <row r="15" spans="1:6" x14ac:dyDescent="0.25">
      <c r="A15" t="s">
        <v>151</v>
      </c>
      <c r="B15" t="s">
        <v>10</v>
      </c>
      <c r="C15" t="s">
        <v>27</v>
      </c>
      <c r="D15" t="s">
        <v>41</v>
      </c>
      <c r="E15">
        <v>2019</v>
      </c>
      <c r="F15">
        <v>48597.277426454682</v>
      </c>
    </row>
    <row r="16" spans="1:6" x14ac:dyDescent="0.25">
      <c r="A16" t="s">
        <v>151</v>
      </c>
      <c r="B16" t="s">
        <v>10</v>
      </c>
      <c r="C16" t="s">
        <v>27</v>
      </c>
      <c r="D16" t="s">
        <v>28</v>
      </c>
      <c r="E16">
        <v>2030</v>
      </c>
      <c r="F16">
        <v>295933.04302308214</v>
      </c>
    </row>
    <row r="17" spans="1:6" x14ac:dyDescent="0.25">
      <c r="A17" t="s">
        <v>151</v>
      </c>
      <c r="B17" t="s">
        <v>10</v>
      </c>
      <c r="C17" t="s">
        <v>27</v>
      </c>
      <c r="D17" t="s">
        <v>29</v>
      </c>
      <c r="E17">
        <v>2030</v>
      </c>
      <c r="F17">
        <v>270140.71358529059</v>
      </c>
    </row>
    <row r="18" spans="1:6" x14ac:dyDescent="0.25">
      <c r="A18" t="s">
        <v>151</v>
      </c>
      <c r="B18" t="s">
        <v>10</v>
      </c>
      <c r="C18" t="s">
        <v>27</v>
      </c>
      <c r="D18" t="s">
        <v>30</v>
      </c>
      <c r="E18">
        <v>2030</v>
      </c>
      <c r="F18">
        <v>123531.68309679118</v>
      </c>
    </row>
    <row r="19" spans="1:6" x14ac:dyDescent="0.25">
      <c r="A19" t="s">
        <v>151</v>
      </c>
      <c r="B19" t="s">
        <v>10</v>
      </c>
      <c r="C19" t="s">
        <v>27</v>
      </c>
      <c r="D19" t="s">
        <v>31</v>
      </c>
      <c r="E19">
        <v>2030</v>
      </c>
      <c r="F19">
        <v>97500.435238944279</v>
      </c>
    </row>
    <row r="20" spans="1:6" x14ac:dyDescent="0.25">
      <c r="A20" t="s">
        <v>151</v>
      </c>
      <c r="B20" t="s">
        <v>10</v>
      </c>
      <c r="C20" t="s">
        <v>27</v>
      </c>
      <c r="D20" t="s">
        <v>32</v>
      </c>
      <c r="E20">
        <v>2030</v>
      </c>
      <c r="F20">
        <v>48022.602431121806</v>
      </c>
    </row>
    <row r="21" spans="1:6" x14ac:dyDescent="0.25">
      <c r="A21" t="s">
        <v>151</v>
      </c>
      <c r="B21" t="s">
        <v>10</v>
      </c>
      <c r="C21" t="s">
        <v>27</v>
      </c>
      <c r="D21" t="s">
        <v>33</v>
      </c>
      <c r="E21">
        <v>2030</v>
      </c>
      <c r="F21">
        <v>43439.71273733316</v>
      </c>
    </row>
    <row r="22" spans="1:6" x14ac:dyDescent="0.25">
      <c r="A22" t="s">
        <v>151</v>
      </c>
      <c r="B22" t="s">
        <v>10</v>
      </c>
      <c r="C22" t="s">
        <v>27</v>
      </c>
      <c r="D22" t="s">
        <v>34</v>
      </c>
      <c r="E22">
        <v>2030</v>
      </c>
      <c r="F22">
        <v>0</v>
      </c>
    </row>
    <row r="23" spans="1:6" x14ac:dyDescent="0.25">
      <c r="A23" t="s">
        <v>151</v>
      </c>
      <c r="B23" t="s">
        <v>10</v>
      </c>
      <c r="C23" t="s">
        <v>27</v>
      </c>
      <c r="D23" t="s">
        <v>35</v>
      </c>
      <c r="E23">
        <v>2030</v>
      </c>
      <c r="F23">
        <v>0</v>
      </c>
    </row>
    <row r="24" spans="1:6" x14ac:dyDescent="0.25">
      <c r="A24" t="s">
        <v>151</v>
      </c>
      <c r="B24" t="s">
        <v>10</v>
      </c>
      <c r="C24" t="s">
        <v>27</v>
      </c>
      <c r="D24" t="s">
        <v>36</v>
      </c>
      <c r="E24">
        <v>2030</v>
      </c>
      <c r="F24">
        <v>0</v>
      </c>
    </row>
    <row r="25" spans="1:6" x14ac:dyDescent="0.25">
      <c r="A25" t="s">
        <v>151</v>
      </c>
      <c r="B25" t="s">
        <v>10</v>
      </c>
      <c r="C25" t="s">
        <v>27</v>
      </c>
      <c r="D25" t="s">
        <v>37</v>
      </c>
      <c r="E25">
        <v>2030</v>
      </c>
      <c r="F25">
        <v>472406.87601849809</v>
      </c>
    </row>
    <row r="26" spans="1:6" x14ac:dyDescent="0.25">
      <c r="A26" t="s">
        <v>151</v>
      </c>
      <c r="B26" t="s">
        <v>10</v>
      </c>
      <c r="C26" t="s">
        <v>27</v>
      </c>
      <c r="D26" t="s">
        <v>38</v>
      </c>
      <c r="E26">
        <v>2030</v>
      </c>
      <c r="F26">
        <v>28235.813279266553</v>
      </c>
    </row>
    <row r="27" spans="1:6" x14ac:dyDescent="0.25">
      <c r="A27" t="s">
        <v>151</v>
      </c>
      <c r="B27" t="s">
        <v>10</v>
      </c>
      <c r="C27" t="s">
        <v>27</v>
      </c>
      <c r="D27" t="s">
        <v>39</v>
      </c>
      <c r="E27">
        <v>2030</v>
      </c>
      <c r="F27">
        <v>32579.784552999867</v>
      </c>
    </row>
    <row r="28" spans="1:6" x14ac:dyDescent="0.25">
      <c r="A28" t="s">
        <v>151</v>
      </c>
      <c r="B28" t="s">
        <v>10</v>
      </c>
      <c r="C28" t="s">
        <v>27</v>
      </c>
      <c r="D28" t="s">
        <v>40</v>
      </c>
      <c r="E28">
        <v>2030</v>
      </c>
      <c r="F28">
        <v>257923.29437791562</v>
      </c>
    </row>
    <row r="29" spans="1:6" x14ac:dyDescent="0.25">
      <c r="A29" t="s">
        <v>151</v>
      </c>
      <c r="B29" t="s">
        <v>10</v>
      </c>
      <c r="C29" t="s">
        <v>27</v>
      </c>
      <c r="D29" t="s">
        <v>41</v>
      </c>
      <c r="E29">
        <v>2030</v>
      </c>
      <c r="F29">
        <v>50227.167852541468</v>
      </c>
    </row>
    <row r="30" spans="1:6" x14ac:dyDescent="0.25">
      <c r="A30" t="s">
        <v>151</v>
      </c>
      <c r="B30" t="s">
        <v>10</v>
      </c>
      <c r="C30" t="s">
        <v>27</v>
      </c>
      <c r="D30" t="s">
        <v>28</v>
      </c>
      <c r="E30">
        <v>2050</v>
      </c>
      <c r="F30">
        <v>307470.55071854044</v>
      </c>
    </row>
    <row r="31" spans="1:6" x14ac:dyDescent="0.25">
      <c r="A31" t="s">
        <v>151</v>
      </c>
      <c r="B31" t="s">
        <v>10</v>
      </c>
      <c r="C31" t="s">
        <v>27</v>
      </c>
      <c r="D31" t="s">
        <v>29</v>
      </c>
      <c r="E31">
        <v>2050</v>
      </c>
      <c r="F31">
        <v>280672.65868343826</v>
      </c>
    </row>
    <row r="32" spans="1:6" x14ac:dyDescent="0.25">
      <c r="A32" t="s">
        <v>151</v>
      </c>
      <c r="B32" t="s">
        <v>10</v>
      </c>
      <c r="C32" t="s">
        <v>27</v>
      </c>
      <c r="D32" t="s">
        <v>30</v>
      </c>
      <c r="E32">
        <v>2050</v>
      </c>
      <c r="F32">
        <v>128347.79869443661</v>
      </c>
    </row>
    <row r="33" spans="1:6" x14ac:dyDescent="0.25">
      <c r="A33" t="s">
        <v>151</v>
      </c>
      <c r="B33" t="s">
        <v>10</v>
      </c>
      <c r="C33" t="s">
        <v>27</v>
      </c>
      <c r="D33" t="s">
        <v>31</v>
      </c>
      <c r="E33">
        <v>2050</v>
      </c>
      <c r="F33">
        <v>75976.255165625393</v>
      </c>
    </row>
    <row r="34" spans="1:6" x14ac:dyDescent="0.25">
      <c r="A34" t="s">
        <v>151</v>
      </c>
      <c r="B34" t="s">
        <v>10</v>
      </c>
      <c r="C34" t="s">
        <v>27</v>
      </c>
      <c r="D34" t="s">
        <v>32</v>
      </c>
      <c r="E34">
        <v>2050</v>
      </c>
      <c r="F34">
        <v>37421.140603964748</v>
      </c>
    </row>
    <row r="35" spans="1:6" x14ac:dyDescent="0.25">
      <c r="A35" t="s">
        <v>151</v>
      </c>
      <c r="B35" t="s">
        <v>10</v>
      </c>
      <c r="C35" t="s">
        <v>27</v>
      </c>
      <c r="D35" t="s">
        <v>33</v>
      </c>
      <c r="E35">
        <v>2050</v>
      </c>
      <c r="F35">
        <v>90266.583697186172</v>
      </c>
    </row>
    <row r="36" spans="1:6" x14ac:dyDescent="0.25">
      <c r="A36" t="s">
        <v>151</v>
      </c>
      <c r="B36" t="s">
        <v>10</v>
      </c>
      <c r="C36" t="s">
        <v>27</v>
      </c>
      <c r="D36" t="s">
        <v>34</v>
      </c>
      <c r="E36">
        <v>2050</v>
      </c>
      <c r="F36">
        <v>0</v>
      </c>
    </row>
    <row r="37" spans="1:6" x14ac:dyDescent="0.25">
      <c r="A37" t="s">
        <v>151</v>
      </c>
      <c r="B37" t="s">
        <v>10</v>
      </c>
      <c r="C37" t="s">
        <v>27</v>
      </c>
      <c r="D37" t="s">
        <v>35</v>
      </c>
      <c r="E37">
        <v>2050</v>
      </c>
      <c r="F37">
        <v>0</v>
      </c>
    </row>
    <row r="38" spans="1:6" x14ac:dyDescent="0.25">
      <c r="A38" t="s">
        <v>151</v>
      </c>
      <c r="B38" t="s">
        <v>10</v>
      </c>
      <c r="C38" t="s">
        <v>27</v>
      </c>
      <c r="D38" t="s">
        <v>36</v>
      </c>
      <c r="E38">
        <v>2050</v>
      </c>
      <c r="F38">
        <v>0</v>
      </c>
    </row>
    <row r="39" spans="1:6" x14ac:dyDescent="0.25">
      <c r="A39" t="s">
        <v>151</v>
      </c>
      <c r="B39" t="s">
        <v>10</v>
      </c>
      <c r="C39" t="s">
        <v>27</v>
      </c>
      <c r="D39" t="s">
        <v>37</v>
      </c>
      <c r="E39">
        <v>2050</v>
      </c>
      <c r="F39">
        <v>490824.54885344987</v>
      </c>
    </row>
    <row r="40" spans="1:6" x14ac:dyDescent="0.25">
      <c r="A40" t="s">
        <v>151</v>
      </c>
      <c r="B40" t="s">
        <v>10</v>
      </c>
      <c r="C40" t="s">
        <v>27</v>
      </c>
      <c r="D40" t="s">
        <v>38</v>
      </c>
      <c r="E40">
        <v>2050</v>
      </c>
      <c r="F40">
        <v>22002.479776189128</v>
      </c>
    </row>
    <row r="41" spans="1:6" x14ac:dyDescent="0.25">
      <c r="A41" t="s">
        <v>151</v>
      </c>
      <c r="B41" t="s">
        <v>10</v>
      </c>
      <c r="C41" t="s">
        <v>27</v>
      </c>
      <c r="D41" t="s">
        <v>39</v>
      </c>
      <c r="E41">
        <v>2050</v>
      </c>
      <c r="F41">
        <v>33849.968886444818</v>
      </c>
    </row>
    <row r="42" spans="1:6" x14ac:dyDescent="0.25">
      <c r="A42" t="s">
        <v>151</v>
      </c>
      <c r="B42" t="s">
        <v>10</v>
      </c>
      <c r="C42" t="s">
        <v>27</v>
      </c>
      <c r="D42" t="s">
        <v>40</v>
      </c>
      <c r="E42">
        <v>2050</v>
      </c>
      <c r="F42">
        <v>267978.92035102146</v>
      </c>
    </row>
    <row r="43" spans="1:6" x14ac:dyDescent="0.25">
      <c r="A43" t="s">
        <v>151</v>
      </c>
      <c r="B43" t="s">
        <v>10</v>
      </c>
      <c r="C43" t="s">
        <v>27</v>
      </c>
      <c r="D43" t="s">
        <v>41</v>
      </c>
      <c r="E43">
        <v>2050</v>
      </c>
      <c r="F43">
        <v>52185.36869993576</v>
      </c>
    </row>
    <row r="44" spans="1:6" x14ac:dyDescent="0.25">
      <c r="A44" t="s">
        <v>151</v>
      </c>
      <c r="B44" t="s">
        <v>10</v>
      </c>
      <c r="C44" t="s">
        <v>42</v>
      </c>
      <c r="D44" t="s">
        <v>28</v>
      </c>
      <c r="E44">
        <v>2019</v>
      </c>
      <c r="F44">
        <v>244164.92559492172</v>
      </c>
    </row>
    <row r="45" spans="1:6" x14ac:dyDescent="0.25">
      <c r="A45" t="s">
        <v>151</v>
      </c>
      <c r="B45" t="s">
        <v>10</v>
      </c>
      <c r="C45" t="s">
        <v>42</v>
      </c>
      <c r="D45" t="s">
        <v>29</v>
      </c>
      <c r="E45">
        <v>2019</v>
      </c>
      <c r="F45">
        <v>222884.49629995148</v>
      </c>
    </row>
    <row r="46" spans="1:6" x14ac:dyDescent="0.25">
      <c r="A46" t="s">
        <v>151</v>
      </c>
      <c r="B46" t="s">
        <v>10</v>
      </c>
      <c r="C46" t="s">
        <v>42</v>
      </c>
      <c r="D46" t="s">
        <v>30</v>
      </c>
      <c r="E46">
        <v>2019</v>
      </c>
      <c r="F46">
        <v>101922.05609696274</v>
      </c>
    </row>
    <row r="47" spans="1:6" x14ac:dyDescent="0.25">
      <c r="A47" t="s">
        <v>151</v>
      </c>
      <c r="B47" t="s">
        <v>10</v>
      </c>
      <c r="C47" t="s">
        <v>42</v>
      </c>
      <c r="D47" t="s">
        <v>31</v>
      </c>
      <c r="E47">
        <v>2019</v>
      </c>
      <c r="F47">
        <v>100555.62853170674</v>
      </c>
    </row>
    <row r="48" spans="1:6" x14ac:dyDescent="0.25">
      <c r="A48" t="s">
        <v>151</v>
      </c>
      <c r="B48" t="s">
        <v>10</v>
      </c>
      <c r="C48" t="s">
        <v>42</v>
      </c>
      <c r="D48" t="s">
        <v>32</v>
      </c>
      <c r="E48">
        <v>2019</v>
      </c>
      <c r="F48">
        <v>49527.399127557059</v>
      </c>
    </row>
    <row r="49" spans="1:6" x14ac:dyDescent="0.25">
      <c r="A49" t="s">
        <v>151</v>
      </c>
      <c r="B49" t="s">
        <v>10</v>
      </c>
      <c r="C49" t="s">
        <v>42</v>
      </c>
      <c r="D49" t="s">
        <v>33</v>
      </c>
      <c r="E49">
        <v>2019</v>
      </c>
      <c r="F49">
        <v>0</v>
      </c>
    </row>
    <row r="50" spans="1:6" x14ac:dyDescent="0.25">
      <c r="A50" t="s">
        <v>151</v>
      </c>
      <c r="B50" t="s">
        <v>10</v>
      </c>
      <c r="C50" t="s">
        <v>42</v>
      </c>
      <c r="D50" t="s">
        <v>34</v>
      </c>
      <c r="E50">
        <v>2019</v>
      </c>
      <c r="F50">
        <v>0</v>
      </c>
    </row>
    <row r="51" spans="1:6" x14ac:dyDescent="0.25">
      <c r="A51" t="s">
        <v>151</v>
      </c>
      <c r="B51" t="s">
        <v>10</v>
      </c>
      <c r="C51" t="s">
        <v>42</v>
      </c>
      <c r="D51" t="s">
        <v>35</v>
      </c>
      <c r="E51">
        <v>2019</v>
      </c>
      <c r="F51">
        <v>0</v>
      </c>
    </row>
    <row r="52" spans="1:6" x14ac:dyDescent="0.25">
      <c r="A52" t="s">
        <v>151</v>
      </c>
      <c r="B52" t="s">
        <v>10</v>
      </c>
      <c r="C52" t="s">
        <v>42</v>
      </c>
      <c r="D52" t="s">
        <v>36</v>
      </c>
      <c r="E52">
        <v>2019</v>
      </c>
      <c r="F52">
        <v>0</v>
      </c>
    </row>
    <row r="53" spans="1:6" x14ac:dyDescent="0.25">
      <c r="A53" t="s">
        <v>151</v>
      </c>
      <c r="B53" t="s">
        <v>10</v>
      </c>
      <c r="C53" t="s">
        <v>42</v>
      </c>
      <c r="D53" t="s">
        <v>37</v>
      </c>
      <c r="E53">
        <v>2019</v>
      </c>
      <c r="F53">
        <v>389767.86287629709</v>
      </c>
    </row>
    <row r="54" spans="1:6" x14ac:dyDescent="0.25">
      <c r="A54" t="s">
        <v>151</v>
      </c>
      <c r="B54" t="s">
        <v>10</v>
      </c>
      <c r="C54" t="s">
        <v>42</v>
      </c>
      <c r="D54" t="s">
        <v>38</v>
      </c>
      <c r="E54">
        <v>2019</v>
      </c>
      <c r="F54">
        <v>29120.587456275069</v>
      </c>
    </row>
    <row r="55" spans="1:6" x14ac:dyDescent="0.25">
      <c r="A55" t="s">
        <v>151</v>
      </c>
      <c r="B55" t="s">
        <v>10</v>
      </c>
      <c r="C55" t="s">
        <v>42</v>
      </c>
      <c r="D55" t="s">
        <v>39</v>
      </c>
      <c r="E55">
        <v>2019</v>
      </c>
      <c r="F55">
        <v>26880.542267330831</v>
      </c>
    </row>
    <row r="56" spans="1:6" x14ac:dyDescent="0.25">
      <c r="A56" t="s">
        <v>151</v>
      </c>
      <c r="B56" t="s">
        <v>10</v>
      </c>
      <c r="C56" t="s">
        <v>42</v>
      </c>
      <c r="D56" t="s">
        <v>40</v>
      </c>
      <c r="E56">
        <v>2019</v>
      </c>
      <c r="F56">
        <v>212804.29294970242</v>
      </c>
    </row>
    <row r="57" spans="1:6" x14ac:dyDescent="0.25">
      <c r="A57" t="s">
        <v>151</v>
      </c>
      <c r="B57" t="s">
        <v>10</v>
      </c>
      <c r="C57" t="s">
        <v>42</v>
      </c>
      <c r="D57" t="s">
        <v>41</v>
      </c>
      <c r="E57">
        <v>2019</v>
      </c>
      <c r="F57">
        <v>41440.835995468369</v>
      </c>
    </row>
    <row r="58" spans="1:6" x14ac:dyDescent="0.25">
      <c r="A58" t="s">
        <v>151</v>
      </c>
      <c r="B58" t="s">
        <v>10</v>
      </c>
      <c r="C58" t="s">
        <v>42</v>
      </c>
      <c r="D58" t="s">
        <v>28</v>
      </c>
      <c r="E58">
        <v>2030</v>
      </c>
      <c r="F58">
        <v>256234.83946537593</v>
      </c>
    </row>
    <row r="59" spans="1:6" x14ac:dyDescent="0.25">
      <c r="A59" t="s">
        <v>151</v>
      </c>
      <c r="B59" t="s">
        <v>10</v>
      </c>
      <c r="C59" t="s">
        <v>42</v>
      </c>
      <c r="D59" t="s">
        <v>29</v>
      </c>
      <c r="E59">
        <v>2030</v>
      </c>
      <c r="F59">
        <v>233902.44520004498</v>
      </c>
    </row>
    <row r="60" spans="1:6" x14ac:dyDescent="0.25">
      <c r="A60" t="s">
        <v>151</v>
      </c>
      <c r="B60" t="s">
        <v>10</v>
      </c>
      <c r="C60" t="s">
        <v>42</v>
      </c>
      <c r="D60" t="s">
        <v>30</v>
      </c>
      <c r="E60">
        <v>2030</v>
      </c>
      <c r="F60">
        <v>106960.41463921656</v>
      </c>
    </row>
    <row r="61" spans="1:6" x14ac:dyDescent="0.25">
      <c r="A61" t="s">
        <v>151</v>
      </c>
      <c r="B61" t="s">
        <v>10</v>
      </c>
      <c r="C61" t="s">
        <v>42</v>
      </c>
      <c r="D61" t="s">
        <v>31</v>
      </c>
      <c r="E61">
        <v>2030</v>
      </c>
      <c r="F61">
        <v>84421.151879638346</v>
      </c>
    </row>
    <row r="62" spans="1:6" x14ac:dyDescent="0.25">
      <c r="A62" t="s">
        <v>151</v>
      </c>
      <c r="B62" t="s">
        <v>10</v>
      </c>
      <c r="C62" t="s">
        <v>42</v>
      </c>
      <c r="D62" t="s">
        <v>32</v>
      </c>
      <c r="E62">
        <v>2030</v>
      </c>
      <c r="F62">
        <v>41580.567343702467</v>
      </c>
    </row>
    <row r="63" spans="1:6" x14ac:dyDescent="0.25">
      <c r="A63" t="s">
        <v>151</v>
      </c>
      <c r="B63" t="s">
        <v>10</v>
      </c>
      <c r="C63" t="s">
        <v>42</v>
      </c>
      <c r="D63" t="s">
        <v>33</v>
      </c>
      <c r="E63">
        <v>2030</v>
      </c>
      <c r="F63">
        <v>37612.453499504722</v>
      </c>
    </row>
    <row r="64" spans="1:6" x14ac:dyDescent="0.25">
      <c r="A64" t="s">
        <v>151</v>
      </c>
      <c r="B64" t="s">
        <v>10</v>
      </c>
      <c r="C64" t="s">
        <v>42</v>
      </c>
      <c r="D64" t="s">
        <v>34</v>
      </c>
      <c r="E64">
        <v>2030</v>
      </c>
      <c r="F64">
        <v>0</v>
      </c>
    </row>
    <row r="65" spans="1:6" x14ac:dyDescent="0.25">
      <c r="A65" t="s">
        <v>151</v>
      </c>
      <c r="B65" t="s">
        <v>10</v>
      </c>
      <c r="C65" t="s">
        <v>42</v>
      </c>
      <c r="D65" t="s">
        <v>35</v>
      </c>
      <c r="E65">
        <v>2030</v>
      </c>
      <c r="F65">
        <v>0</v>
      </c>
    </row>
    <row r="66" spans="1:6" x14ac:dyDescent="0.25">
      <c r="A66" t="s">
        <v>151</v>
      </c>
      <c r="B66" t="s">
        <v>10</v>
      </c>
      <c r="C66" t="s">
        <v>42</v>
      </c>
      <c r="D66" t="s">
        <v>36</v>
      </c>
      <c r="E66">
        <v>2030</v>
      </c>
      <c r="F66">
        <v>0</v>
      </c>
    </row>
    <row r="67" spans="1:6" x14ac:dyDescent="0.25">
      <c r="A67" t="s">
        <v>151</v>
      </c>
      <c r="B67" t="s">
        <v>10</v>
      </c>
      <c r="C67" t="s">
        <v>42</v>
      </c>
      <c r="D67" t="s">
        <v>37</v>
      </c>
      <c r="E67">
        <v>2030</v>
      </c>
      <c r="F67">
        <v>409035.43180711387</v>
      </c>
    </row>
    <row r="68" spans="1:6" x14ac:dyDescent="0.25">
      <c r="A68" t="s">
        <v>151</v>
      </c>
      <c r="B68" t="s">
        <v>10</v>
      </c>
      <c r="C68" t="s">
        <v>42</v>
      </c>
      <c r="D68" t="s">
        <v>38</v>
      </c>
      <c r="E68">
        <v>2030</v>
      </c>
      <c r="F68">
        <v>24448.094774678073</v>
      </c>
    </row>
    <row r="69" spans="1:6" x14ac:dyDescent="0.25">
      <c r="A69" t="s">
        <v>151</v>
      </c>
      <c r="B69" t="s">
        <v>10</v>
      </c>
      <c r="C69" t="s">
        <v>42</v>
      </c>
      <c r="D69" t="s">
        <v>39</v>
      </c>
      <c r="E69">
        <v>2030</v>
      </c>
      <c r="F69">
        <v>28209.340124628539</v>
      </c>
    </row>
    <row r="70" spans="1:6" x14ac:dyDescent="0.25">
      <c r="A70" t="s">
        <v>151</v>
      </c>
      <c r="B70" t="s">
        <v>10</v>
      </c>
      <c r="C70" t="s">
        <v>42</v>
      </c>
      <c r="D70" t="s">
        <v>40</v>
      </c>
      <c r="E70">
        <v>2030</v>
      </c>
      <c r="F70">
        <v>223323.94265330929</v>
      </c>
    </row>
    <row r="71" spans="1:6" x14ac:dyDescent="0.25">
      <c r="A71" t="s">
        <v>151</v>
      </c>
      <c r="B71" t="s">
        <v>10</v>
      </c>
      <c r="C71" t="s">
        <v>42</v>
      </c>
      <c r="D71" t="s">
        <v>41</v>
      </c>
      <c r="E71">
        <v>2030</v>
      </c>
      <c r="F71">
        <v>43489.39935880233</v>
      </c>
    </row>
    <row r="72" spans="1:6" x14ac:dyDescent="0.25">
      <c r="A72" t="s">
        <v>151</v>
      </c>
      <c r="B72" t="s">
        <v>10</v>
      </c>
      <c r="C72" t="s">
        <v>42</v>
      </c>
      <c r="D72" t="s">
        <v>28</v>
      </c>
      <c r="E72">
        <v>2050</v>
      </c>
      <c r="F72">
        <v>268249.01834925939</v>
      </c>
    </row>
    <row r="73" spans="1:6" x14ac:dyDescent="0.25">
      <c r="A73" t="s">
        <v>151</v>
      </c>
      <c r="B73" t="s">
        <v>10</v>
      </c>
      <c r="C73" t="s">
        <v>42</v>
      </c>
      <c r="D73" t="s">
        <v>29</v>
      </c>
      <c r="E73">
        <v>2050</v>
      </c>
      <c r="F73">
        <v>244869.51675001203</v>
      </c>
    </row>
    <row r="74" spans="1:6" x14ac:dyDescent="0.25">
      <c r="A74" t="s">
        <v>151</v>
      </c>
      <c r="B74" t="s">
        <v>10</v>
      </c>
      <c r="C74" t="s">
        <v>42</v>
      </c>
      <c r="D74" t="s">
        <v>30</v>
      </c>
      <c r="E74">
        <v>2050</v>
      </c>
      <c r="F74">
        <v>111975.50765955324</v>
      </c>
    </row>
    <row r="75" spans="1:6" x14ac:dyDescent="0.25">
      <c r="A75" t="s">
        <v>151</v>
      </c>
      <c r="B75" t="s">
        <v>10</v>
      </c>
      <c r="C75" t="s">
        <v>42</v>
      </c>
      <c r="D75" t="s">
        <v>31</v>
      </c>
      <c r="E75">
        <v>2050</v>
      </c>
      <c r="F75">
        <v>66284.578534118831</v>
      </c>
    </row>
    <row r="76" spans="1:6" x14ac:dyDescent="0.25">
      <c r="A76" t="s">
        <v>151</v>
      </c>
      <c r="B76" t="s">
        <v>10</v>
      </c>
      <c r="C76" t="s">
        <v>42</v>
      </c>
      <c r="D76" t="s">
        <v>32</v>
      </c>
      <c r="E76">
        <v>2050</v>
      </c>
      <c r="F76">
        <v>32647.628233222706</v>
      </c>
    </row>
    <row r="77" spans="1:6" x14ac:dyDescent="0.25">
      <c r="A77" t="s">
        <v>151</v>
      </c>
      <c r="B77" t="s">
        <v>10</v>
      </c>
      <c r="C77" t="s">
        <v>42</v>
      </c>
      <c r="D77" t="s">
        <v>33</v>
      </c>
      <c r="E77">
        <v>2050</v>
      </c>
      <c r="F77">
        <v>78752.00538693853</v>
      </c>
    </row>
    <row r="78" spans="1:6" x14ac:dyDescent="0.25">
      <c r="A78" t="s">
        <v>151</v>
      </c>
      <c r="B78" t="s">
        <v>10</v>
      </c>
      <c r="C78" t="s">
        <v>42</v>
      </c>
      <c r="D78" t="s">
        <v>34</v>
      </c>
      <c r="E78">
        <v>2050</v>
      </c>
      <c r="F78">
        <v>0</v>
      </c>
    </row>
    <row r="79" spans="1:6" x14ac:dyDescent="0.25">
      <c r="A79" t="s">
        <v>151</v>
      </c>
      <c r="B79" t="s">
        <v>10</v>
      </c>
      <c r="C79" t="s">
        <v>42</v>
      </c>
      <c r="D79" t="s">
        <v>35</v>
      </c>
      <c r="E79">
        <v>2050</v>
      </c>
      <c r="F79">
        <v>0</v>
      </c>
    </row>
    <row r="80" spans="1:6" x14ac:dyDescent="0.25">
      <c r="A80" t="s">
        <v>151</v>
      </c>
      <c r="B80" t="s">
        <v>10</v>
      </c>
      <c r="C80" t="s">
        <v>42</v>
      </c>
      <c r="D80" t="s">
        <v>36</v>
      </c>
      <c r="E80">
        <v>2050</v>
      </c>
      <c r="F80">
        <v>0</v>
      </c>
    </row>
    <row r="81" spans="1:6" x14ac:dyDescent="0.25">
      <c r="A81" t="s">
        <v>151</v>
      </c>
      <c r="B81" t="s">
        <v>10</v>
      </c>
      <c r="C81" t="s">
        <v>42</v>
      </c>
      <c r="D81" t="s">
        <v>37</v>
      </c>
      <c r="E81">
        <v>2050</v>
      </c>
      <c r="F81">
        <v>428214.02929147833</v>
      </c>
    </row>
    <row r="82" spans="1:6" x14ac:dyDescent="0.25">
      <c r="A82" t="s">
        <v>151</v>
      </c>
      <c r="B82" t="s">
        <v>10</v>
      </c>
      <c r="C82" t="s">
        <v>42</v>
      </c>
      <c r="D82" t="s">
        <v>38</v>
      </c>
      <c r="E82">
        <v>2050</v>
      </c>
      <c r="F82">
        <v>19195.801313066269</v>
      </c>
    </row>
    <row r="83" spans="1:6" x14ac:dyDescent="0.25">
      <c r="A83" t="s">
        <v>151</v>
      </c>
      <c r="B83" t="s">
        <v>10</v>
      </c>
      <c r="C83" t="s">
        <v>42</v>
      </c>
      <c r="D83" t="s">
        <v>39</v>
      </c>
      <c r="E83">
        <v>2050</v>
      </c>
      <c r="F83">
        <v>29532.002020101954</v>
      </c>
    </row>
    <row r="84" spans="1:6" x14ac:dyDescent="0.25">
      <c r="A84" t="s">
        <v>151</v>
      </c>
      <c r="B84" t="s">
        <v>10</v>
      </c>
      <c r="C84" t="s">
        <v>42</v>
      </c>
      <c r="D84" t="s">
        <v>40</v>
      </c>
      <c r="E84">
        <v>2050</v>
      </c>
      <c r="F84">
        <v>233795.01599247381</v>
      </c>
    </row>
    <row r="85" spans="1:6" x14ac:dyDescent="0.25">
      <c r="A85" t="s">
        <v>151</v>
      </c>
      <c r="B85" t="s">
        <v>10</v>
      </c>
      <c r="C85" t="s">
        <v>42</v>
      </c>
      <c r="D85" t="s">
        <v>41</v>
      </c>
      <c r="E85">
        <v>2050</v>
      </c>
      <c r="F85">
        <v>45528.503114323845</v>
      </c>
    </row>
    <row r="86" spans="1:6" x14ac:dyDescent="0.25">
      <c r="A86" t="s">
        <v>151</v>
      </c>
      <c r="B86" t="s">
        <v>11</v>
      </c>
      <c r="C86" t="s">
        <v>27</v>
      </c>
      <c r="D86" t="s">
        <v>43</v>
      </c>
      <c r="E86">
        <v>2019</v>
      </c>
      <c r="F86">
        <v>2534442.072977222</v>
      </c>
    </row>
    <row r="87" spans="1:6" x14ac:dyDescent="0.25">
      <c r="A87" t="s">
        <v>151</v>
      </c>
      <c r="B87" t="s">
        <v>11</v>
      </c>
      <c r="C87" t="s">
        <v>27</v>
      </c>
      <c r="D87" t="s">
        <v>44</v>
      </c>
      <c r="E87">
        <v>2019</v>
      </c>
      <c r="F87">
        <v>4066864.6068164087</v>
      </c>
    </row>
    <row r="88" spans="1:6" x14ac:dyDescent="0.25">
      <c r="A88" t="s">
        <v>151</v>
      </c>
      <c r="B88" t="s">
        <v>11</v>
      </c>
      <c r="C88" t="s">
        <v>27</v>
      </c>
      <c r="D88" t="s">
        <v>45</v>
      </c>
      <c r="E88">
        <v>2019</v>
      </c>
      <c r="F88">
        <v>4103.8061780475591</v>
      </c>
    </row>
    <row r="89" spans="1:6" x14ac:dyDescent="0.25">
      <c r="A89" t="s">
        <v>151</v>
      </c>
      <c r="B89" t="s">
        <v>11</v>
      </c>
      <c r="C89" t="s">
        <v>27</v>
      </c>
      <c r="D89" t="s">
        <v>46</v>
      </c>
      <c r="E89">
        <v>2019</v>
      </c>
      <c r="F89">
        <v>1460182.5874658169</v>
      </c>
    </row>
    <row r="90" spans="1:6" x14ac:dyDescent="0.25">
      <c r="A90" t="s">
        <v>151</v>
      </c>
      <c r="B90" t="s">
        <v>11</v>
      </c>
      <c r="C90" t="s">
        <v>27</v>
      </c>
      <c r="D90" t="s">
        <v>47</v>
      </c>
      <c r="E90">
        <v>2019</v>
      </c>
      <c r="F90">
        <v>393543.64426779439</v>
      </c>
    </row>
    <row r="91" spans="1:6" x14ac:dyDescent="0.25">
      <c r="A91" t="s">
        <v>151</v>
      </c>
      <c r="B91" t="s">
        <v>11</v>
      </c>
      <c r="C91" t="s">
        <v>27</v>
      </c>
      <c r="D91" t="s">
        <v>48</v>
      </c>
      <c r="E91">
        <v>2019</v>
      </c>
      <c r="F91">
        <v>716103.75203569303</v>
      </c>
    </row>
    <row r="92" spans="1:6" x14ac:dyDescent="0.25">
      <c r="A92" t="s">
        <v>151</v>
      </c>
      <c r="B92" t="s">
        <v>11</v>
      </c>
      <c r="C92" t="s">
        <v>27</v>
      </c>
      <c r="D92" t="s">
        <v>49</v>
      </c>
      <c r="E92">
        <v>2019</v>
      </c>
      <c r="F92">
        <v>671194.67155029252</v>
      </c>
    </row>
    <row r="93" spans="1:6" x14ac:dyDescent="0.25">
      <c r="A93" t="s">
        <v>151</v>
      </c>
      <c r="B93" t="s">
        <v>11</v>
      </c>
      <c r="C93" t="s">
        <v>27</v>
      </c>
      <c r="D93" t="s">
        <v>50</v>
      </c>
      <c r="E93">
        <v>2019</v>
      </c>
      <c r="F93">
        <v>0</v>
      </c>
    </row>
    <row r="94" spans="1:6" x14ac:dyDescent="0.25">
      <c r="A94" t="s">
        <v>151</v>
      </c>
      <c r="B94" t="s">
        <v>11</v>
      </c>
      <c r="C94" t="s">
        <v>27</v>
      </c>
      <c r="D94" t="s">
        <v>51</v>
      </c>
      <c r="E94">
        <v>2019</v>
      </c>
      <c r="F94">
        <v>53138.892747161146</v>
      </c>
    </row>
    <row r="95" spans="1:6" x14ac:dyDescent="0.25">
      <c r="A95" t="s">
        <v>151</v>
      </c>
      <c r="B95" t="s">
        <v>11</v>
      </c>
      <c r="C95" t="s">
        <v>27</v>
      </c>
      <c r="D95" t="s">
        <v>28</v>
      </c>
      <c r="E95">
        <v>2019</v>
      </c>
      <c r="F95">
        <v>2840.1853290986264</v>
      </c>
    </row>
    <row r="96" spans="1:6" x14ac:dyDescent="0.25">
      <c r="A96" t="s">
        <v>151</v>
      </c>
      <c r="B96" t="s">
        <v>11</v>
      </c>
      <c r="C96" t="s">
        <v>27</v>
      </c>
      <c r="D96" t="s">
        <v>52</v>
      </c>
      <c r="E96">
        <v>2019</v>
      </c>
      <c r="F96">
        <v>75746.163899662715</v>
      </c>
    </row>
    <row r="97" spans="1:6" x14ac:dyDescent="0.25">
      <c r="A97" t="s">
        <v>151</v>
      </c>
      <c r="B97" t="s">
        <v>11</v>
      </c>
      <c r="C97" t="s">
        <v>27</v>
      </c>
      <c r="D97" t="s">
        <v>53</v>
      </c>
      <c r="E97">
        <v>2019</v>
      </c>
      <c r="F97">
        <v>314821.43493156106</v>
      </c>
    </row>
    <row r="98" spans="1:6" x14ac:dyDescent="0.25">
      <c r="A98" t="s">
        <v>151</v>
      </c>
      <c r="B98" t="s">
        <v>11</v>
      </c>
      <c r="C98" t="s">
        <v>27</v>
      </c>
      <c r="D98" t="s">
        <v>54</v>
      </c>
      <c r="E98">
        <v>2019</v>
      </c>
      <c r="F98">
        <v>4101.0489241972273</v>
      </c>
    </row>
    <row r="99" spans="1:6" x14ac:dyDescent="0.25">
      <c r="A99" t="s">
        <v>151</v>
      </c>
      <c r="B99" t="s">
        <v>11</v>
      </c>
      <c r="C99" t="s">
        <v>27</v>
      </c>
      <c r="D99" t="s">
        <v>55</v>
      </c>
      <c r="E99">
        <v>2019</v>
      </c>
      <c r="F99">
        <v>42.099811904105366</v>
      </c>
    </row>
    <row r="100" spans="1:6" x14ac:dyDescent="0.25">
      <c r="A100" t="s">
        <v>151</v>
      </c>
      <c r="B100" t="s">
        <v>11</v>
      </c>
      <c r="C100" t="s">
        <v>27</v>
      </c>
      <c r="D100" t="s">
        <v>56</v>
      </c>
      <c r="E100">
        <v>2019</v>
      </c>
      <c r="F100">
        <v>114193.60000000001</v>
      </c>
    </row>
    <row r="101" spans="1:6" x14ac:dyDescent="0.25">
      <c r="A101" t="s">
        <v>151</v>
      </c>
      <c r="B101" t="s">
        <v>11</v>
      </c>
      <c r="C101" t="s">
        <v>27</v>
      </c>
      <c r="D101" t="s">
        <v>34</v>
      </c>
      <c r="E101">
        <v>2019</v>
      </c>
      <c r="F101">
        <v>0</v>
      </c>
    </row>
    <row r="102" spans="1:6" x14ac:dyDescent="0.25">
      <c r="A102" t="s">
        <v>151</v>
      </c>
      <c r="B102" t="s">
        <v>11</v>
      </c>
      <c r="C102" t="s">
        <v>27</v>
      </c>
      <c r="D102" t="s">
        <v>35</v>
      </c>
      <c r="E102">
        <v>2019</v>
      </c>
      <c r="F102">
        <v>0</v>
      </c>
    </row>
    <row r="103" spans="1:6" x14ac:dyDescent="0.25">
      <c r="A103" t="s">
        <v>151</v>
      </c>
      <c r="B103" t="s">
        <v>11</v>
      </c>
      <c r="C103" t="s">
        <v>27</v>
      </c>
      <c r="D103" t="s">
        <v>43</v>
      </c>
      <c r="E103">
        <v>2030</v>
      </c>
      <c r="F103">
        <v>11306124.881910801</v>
      </c>
    </row>
    <row r="104" spans="1:6" x14ac:dyDescent="0.25">
      <c r="A104" t="s">
        <v>151</v>
      </c>
      <c r="B104" t="s">
        <v>11</v>
      </c>
      <c r="C104" t="s">
        <v>27</v>
      </c>
      <c r="D104" t="s">
        <v>44</v>
      </c>
      <c r="E104">
        <v>2030</v>
      </c>
      <c r="F104">
        <v>9737622.5335018374</v>
      </c>
    </row>
    <row r="105" spans="1:6" x14ac:dyDescent="0.25">
      <c r="A105" t="s">
        <v>151</v>
      </c>
      <c r="B105" t="s">
        <v>11</v>
      </c>
      <c r="C105" t="s">
        <v>27</v>
      </c>
      <c r="D105" t="s">
        <v>45</v>
      </c>
      <c r="E105">
        <v>2030</v>
      </c>
      <c r="F105">
        <v>6257.0446016591122</v>
      </c>
    </row>
    <row r="106" spans="1:6" x14ac:dyDescent="0.25">
      <c r="A106" t="s">
        <v>151</v>
      </c>
      <c r="B106" t="s">
        <v>11</v>
      </c>
      <c r="C106" t="s">
        <v>27</v>
      </c>
      <c r="D106" t="s">
        <v>46</v>
      </c>
      <c r="E106">
        <v>2030</v>
      </c>
      <c r="F106">
        <v>2980433.248128525</v>
      </c>
    </row>
    <row r="107" spans="1:6" x14ac:dyDescent="0.25">
      <c r="A107" t="s">
        <v>151</v>
      </c>
      <c r="B107" t="s">
        <v>11</v>
      </c>
      <c r="C107" t="s">
        <v>27</v>
      </c>
      <c r="D107" t="s">
        <v>47</v>
      </c>
      <c r="E107">
        <v>2030</v>
      </c>
      <c r="F107">
        <v>0</v>
      </c>
    </row>
    <row r="108" spans="1:6" x14ac:dyDescent="0.25">
      <c r="A108" t="s">
        <v>151</v>
      </c>
      <c r="B108" t="s">
        <v>11</v>
      </c>
      <c r="C108" t="s">
        <v>27</v>
      </c>
      <c r="D108" t="s">
        <v>48</v>
      </c>
      <c r="E108">
        <v>2030</v>
      </c>
      <c r="F108">
        <v>0</v>
      </c>
    </row>
    <row r="109" spans="1:6" x14ac:dyDescent="0.25">
      <c r="A109" t="s">
        <v>151</v>
      </c>
      <c r="B109" t="s">
        <v>11</v>
      </c>
      <c r="C109" t="s">
        <v>27</v>
      </c>
      <c r="D109" t="s">
        <v>49</v>
      </c>
      <c r="E109">
        <v>2030</v>
      </c>
      <c r="F109">
        <v>1989694.3638441348</v>
      </c>
    </row>
    <row r="110" spans="1:6" x14ac:dyDescent="0.25">
      <c r="A110" t="s">
        <v>151</v>
      </c>
      <c r="B110" t="s">
        <v>11</v>
      </c>
      <c r="C110" t="s">
        <v>27</v>
      </c>
      <c r="D110" t="s">
        <v>50</v>
      </c>
      <c r="E110">
        <v>2030</v>
      </c>
      <c r="F110">
        <v>843656.57672861801</v>
      </c>
    </row>
    <row r="111" spans="1:6" x14ac:dyDescent="0.25">
      <c r="A111" t="s">
        <v>151</v>
      </c>
      <c r="B111" t="s">
        <v>11</v>
      </c>
      <c r="C111" t="s">
        <v>27</v>
      </c>
      <c r="D111" t="s">
        <v>51</v>
      </c>
      <c r="E111">
        <v>2030</v>
      </c>
      <c r="F111">
        <v>0</v>
      </c>
    </row>
    <row r="112" spans="1:6" x14ac:dyDescent="0.25">
      <c r="A112" t="s">
        <v>151</v>
      </c>
      <c r="B112" t="s">
        <v>11</v>
      </c>
      <c r="C112" t="s">
        <v>27</v>
      </c>
      <c r="D112" t="s">
        <v>28</v>
      </c>
      <c r="E112">
        <v>2030</v>
      </c>
      <c r="F112">
        <v>0</v>
      </c>
    </row>
    <row r="113" spans="1:6" x14ac:dyDescent="0.25">
      <c r="A113" t="s">
        <v>151</v>
      </c>
      <c r="B113" t="s">
        <v>11</v>
      </c>
      <c r="C113" t="s">
        <v>27</v>
      </c>
      <c r="D113" t="s">
        <v>52</v>
      </c>
      <c r="E113">
        <v>2030</v>
      </c>
      <c r="F113">
        <v>0</v>
      </c>
    </row>
    <row r="114" spans="1:6" x14ac:dyDescent="0.25">
      <c r="A114" t="s">
        <v>151</v>
      </c>
      <c r="B114" t="s">
        <v>11</v>
      </c>
      <c r="C114" t="s">
        <v>27</v>
      </c>
      <c r="D114" t="s">
        <v>53</v>
      </c>
      <c r="E114">
        <v>2030</v>
      </c>
      <c r="F114">
        <v>0</v>
      </c>
    </row>
    <row r="115" spans="1:6" x14ac:dyDescent="0.25">
      <c r="A115" t="s">
        <v>151</v>
      </c>
      <c r="B115" t="s">
        <v>11</v>
      </c>
      <c r="C115" t="s">
        <v>27</v>
      </c>
      <c r="D115" t="s">
        <v>54</v>
      </c>
      <c r="E115">
        <v>2030</v>
      </c>
      <c r="F115">
        <v>0</v>
      </c>
    </row>
    <row r="116" spans="1:6" x14ac:dyDescent="0.25">
      <c r="A116" t="s">
        <v>151</v>
      </c>
      <c r="B116" t="s">
        <v>11</v>
      </c>
      <c r="C116" t="s">
        <v>27</v>
      </c>
      <c r="D116" t="s">
        <v>55</v>
      </c>
      <c r="E116">
        <v>2030</v>
      </c>
      <c r="F116">
        <v>401960.68859899876</v>
      </c>
    </row>
    <row r="117" spans="1:6" x14ac:dyDescent="0.25">
      <c r="A117" t="s">
        <v>151</v>
      </c>
      <c r="B117" t="s">
        <v>11</v>
      </c>
      <c r="C117" t="s">
        <v>27</v>
      </c>
      <c r="D117" t="s">
        <v>56</v>
      </c>
      <c r="E117">
        <v>2030</v>
      </c>
      <c r="F117">
        <v>114193.60000000001</v>
      </c>
    </row>
    <row r="118" spans="1:6" x14ac:dyDescent="0.25">
      <c r="A118" t="s">
        <v>151</v>
      </c>
      <c r="B118" t="s">
        <v>11</v>
      </c>
      <c r="C118" t="s">
        <v>27</v>
      </c>
      <c r="D118" t="s">
        <v>34</v>
      </c>
      <c r="E118">
        <v>2030</v>
      </c>
      <c r="F118">
        <v>0</v>
      </c>
    </row>
    <row r="119" spans="1:6" x14ac:dyDescent="0.25">
      <c r="A119" t="s">
        <v>151</v>
      </c>
      <c r="B119" t="s">
        <v>11</v>
      </c>
      <c r="C119" t="s">
        <v>27</v>
      </c>
      <c r="D119" t="s">
        <v>35</v>
      </c>
      <c r="E119">
        <v>2030</v>
      </c>
      <c r="F119">
        <v>0</v>
      </c>
    </row>
    <row r="120" spans="1:6" x14ac:dyDescent="0.25">
      <c r="A120" t="s">
        <v>151</v>
      </c>
      <c r="B120" t="s">
        <v>11</v>
      </c>
      <c r="C120" t="s">
        <v>27</v>
      </c>
      <c r="D120" t="s">
        <v>43</v>
      </c>
      <c r="E120">
        <v>2050</v>
      </c>
      <c r="F120">
        <v>12989062.590821605</v>
      </c>
    </row>
    <row r="121" spans="1:6" x14ac:dyDescent="0.25">
      <c r="A121" t="s">
        <v>151</v>
      </c>
      <c r="B121" t="s">
        <v>11</v>
      </c>
      <c r="C121" t="s">
        <v>27</v>
      </c>
      <c r="D121" t="s">
        <v>44</v>
      </c>
      <c r="E121">
        <v>2050</v>
      </c>
      <c r="F121">
        <v>11461865.852294842</v>
      </c>
    </row>
    <row r="122" spans="1:6" x14ac:dyDescent="0.25">
      <c r="A122" t="s">
        <v>151</v>
      </c>
      <c r="B122" t="s">
        <v>11</v>
      </c>
      <c r="C122" t="s">
        <v>27</v>
      </c>
      <c r="D122" t="s">
        <v>45</v>
      </c>
      <c r="E122">
        <v>2050</v>
      </c>
      <c r="F122">
        <v>7753.9785502341792</v>
      </c>
    </row>
    <row r="123" spans="1:6" x14ac:dyDescent="0.25">
      <c r="A123" t="s">
        <v>151</v>
      </c>
      <c r="B123" t="s">
        <v>11</v>
      </c>
      <c r="C123" t="s">
        <v>27</v>
      </c>
      <c r="D123" t="s">
        <v>46</v>
      </c>
      <c r="E123">
        <v>2050</v>
      </c>
      <c r="F123">
        <v>3709649.3380054114</v>
      </c>
    </row>
    <row r="124" spans="1:6" x14ac:dyDescent="0.25">
      <c r="A124" t="s">
        <v>151</v>
      </c>
      <c r="B124" t="s">
        <v>11</v>
      </c>
      <c r="C124" t="s">
        <v>27</v>
      </c>
      <c r="D124" t="s">
        <v>47</v>
      </c>
      <c r="E124">
        <v>2050</v>
      </c>
      <c r="F124">
        <v>0</v>
      </c>
    </row>
    <row r="125" spans="1:6" x14ac:dyDescent="0.25">
      <c r="A125" t="s">
        <v>151</v>
      </c>
      <c r="B125" t="s">
        <v>11</v>
      </c>
      <c r="C125" t="s">
        <v>27</v>
      </c>
      <c r="D125" t="s">
        <v>48</v>
      </c>
      <c r="E125">
        <v>2050</v>
      </c>
      <c r="F125">
        <v>0</v>
      </c>
    </row>
    <row r="126" spans="1:6" x14ac:dyDescent="0.25">
      <c r="A126" t="s">
        <v>151</v>
      </c>
      <c r="B126" t="s">
        <v>11</v>
      </c>
      <c r="C126" t="s">
        <v>27</v>
      </c>
      <c r="D126" t="s">
        <v>49</v>
      </c>
      <c r="E126">
        <v>2050</v>
      </c>
      <c r="F126">
        <v>2500179.9549197182</v>
      </c>
    </row>
    <row r="127" spans="1:6" x14ac:dyDescent="0.25">
      <c r="A127" t="s">
        <v>151</v>
      </c>
      <c r="B127" t="s">
        <v>11</v>
      </c>
      <c r="C127" t="s">
        <v>27</v>
      </c>
      <c r="D127" t="s">
        <v>50</v>
      </c>
      <c r="E127">
        <v>2050</v>
      </c>
      <c r="F127">
        <v>1569201.2327152297</v>
      </c>
    </row>
    <row r="128" spans="1:6" x14ac:dyDescent="0.25">
      <c r="A128" t="s">
        <v>151</v>
      </c>
      <c r="B128" t="s">
        <v>11</v>
      </c>
      <c r="C128" t="s">
        <v>27</v>
      </c>
      <c r="D128" t="s">
        <v>51</v>
      </c>
      <c r="E128">
        <v>2050</v>
      </c>
      <c r="F128">
        <v>0</v>
      </c>
    </row>
    <row r="129" spans="1:6" x14ac:dyDescent="0.25">
      <c r="A129" t="s">
        <v>151</v>
      </c>
      <c r="B129" t="s">
        <v>11</v>
      </c>
      <c r="C129" t="s">
        <v>27</v>
      </c>
      <c r="D129" t="s">
        <v>28</v>
      </c>
      <c r="E129">
        <v>2050</v>
      </c>
      <c r="F129">
        <v>0</v>
      </c>
    </row>
    <row r="130" spans="1:6" x14ac:dyDescent="0.25">
      <c r="A130" t="s">
        <v>151</v>
      </c>
      <c r="B130" t="s">
        <v>11</v>
      </c>
      <c r="C130" t="s">
        <v>27</v>
      </c>
      <c r="D130" t="s">
        <v>52</v>
      </c>
      <c r="E130">
        <v>2050</v>
      </c>
      <c r="F130">
        <v>0</v>
      </c>
    </row>
    <row r="131" spans="1:6" x14ac:dyDescent="0.25">
      <c r="A131" t="s">
        <v>151</v>
      </c>
      <c r="B131" t="s">
        <v>11</v>
      </c>
      <c r="C131" t="s">
        <v>27</v>
      </c>
      <c r="D131" t="s">
        <v>53</v>
      </c>
      <c r="E131">
        <v>2050</v>
      </c>
      <c r="F131">
        <v>0</v>
      </c>
    </row>
    <row r="132" spans="1:6" x14ac:dyDescent="0.25">
      <c r="A132" t="s">
        <v>151</v>
      </c>
      <c r="B132" t="s">
        <v>11</v>
      </c>
      <c r="C132" t="s">
        <v>27</v>
      </c>
      <c r="D132" t="s">
        <v>54</v>
      </c>
      <c r="E132">
        <v>2050</v>
      </c>
      <c r="F132">
        <v>0</v>
      </c>
    </row>
    <row r="133" spans="1:6" x14ac:dyDescent="0.25">
      <c r="A133" t="s">
        <v>151</v>
      </c>
      <c r="B133" t="s">
        <v>11</v>
      </c>
      <c r="C133" t="s">
        <v>27</v>
      </c>
      <c r="D133" t="s">
        <v>55</v>
      </c>
      <c r="E133">
        <v>2050</v>
      </c>
      <c r="F133">
        <v>523381.79192356829</v>
      </c>
    </row>
    <row r="134" spans="1:6" x14ac:dyDescent="0.25">
      <c r="A134" t="s">
        <v>151</v>
      </c>
      <c r="B134" t="s">
        <v>11</v>
      </c>
      <c r="C134" t="s">
        <v>27</v>
      </c>
      <c r="D134" t="s">
        <v>56</v>
      </c>
      <c r="E134">
        <v>2050</v>
      </c>
      <c r="F134">
        <v>114193.60000000001</v>
      </c>
    </row>
    <row r="135" spans="1:6" x14ac:dyDescent="0.25">
      <c r="A135" t="s">
        <v>151</v>
      </c>
      <c r="B135" t="s">
        <v>11</v>
      </c>
      <c r="C135" t="s">
        <v>27</v>
      </c>
      <c r="D135" t="s">
        <v>34</v>
      </c>
      <c r="E135">
        <v>2050</v>
      </c>
      <c r="F135">
        <v>0</v>
      </c>
    </row>
    <row r="136" spans="1:6" x14ac:dyDescent="0.25">
      <c r="A136" t="s">
        <v>151</v>
      </c>
      <c r="B136" t="s">
        <v>11</v>
      </c>
      <c r="C136" t="s">
        <v>27</v>
      </c>
      <c r="D136" t="s">
        <v>35</v>
      </c>
      <c r="E136">
        <v>2050</v>
      </c>
      <c r="F136">
        <v>0</v>
      </c>
    </row>
    <row r="137" spans="1:6" x14ac:dyDescent="0.25">
      <c r="A137" t="s">
        <v>151</v>
      </c>
      <c r="B137" t="s">
        <v>11</v>
      </c>
      <c r="C137" t="s">
        <v>42</v>
      </c>
      <c r="D137" t="s">
        <v>43</v>
      </c>
      <c r="E137">
        <v>2019</v>
      </c>
      <c r="F137">
        <v>380427.26035611134</v>
      </c>
    </row>
    <row r="138" spans="1:6" x14ac:dyDescent="0.25">
      <c r="A138" t="s">
        <v>151</v>
      </c>
      <c r="B138" t="s">
        <v>11</v>
      </c>
      <c r="C138" t="s">
        <v>42</v>
      </c>
      <c r="D138" t="s">
        <v>44</v>
      </c>
      <c r="E138">
        <v>2019</v>
      </c>
      <c r="F138">
        <v>286645.05985025823</v>
      </c>
    </row>
    <row r="139" spans="1:6" x14ac:dyDescent="0.25">
      <c r="A139" t="s">
        <v>151</v>
      </c>
      <c r="B139" t="s">
        <v>11</v>
      </c>
      <c r="C139" t="s">
        <v>42</v>
      </c>
      <c r="D139" t="s">
        <v>45</v>
      </c>
      <c r="E139">
        <v>2019</v>
      </c>
      <c r="F139">
        <v>337.693821952441</v>
      </c>
    </row>
    <row r="140" spans="1:6" x14ac:dyDescent="0.25">
      <c r="A140" t="s">
        <v>151</v>
      </c>
      <c r="B140" t="s">
        <v>11</v>
      </c>
      <c r="C140" t="s">
        <v>42</v>
      </c>
      <c r="D140" t="s">
        <v>46</v>
      </c>
      <c r="E140">
        <v>2019</v>
      </c>
      <c r="F140">
        <v>1208651.4125341829</v>
      </c>
    </row>
    <row r="141" spans="1:6" x14ac:dyDescent="0.25">
      <c r="A141" t="s">
        <v>151</v>
      </c>
      <c r="B141" t="s">
        <v>11</v>
      </c>
      <c r="C141" t="s">
        <v>42</v>
      </c>
      <c r="D141" t="s">
        <v>47</v>
      </c>
      <c r="E141">
        <v>2019</v>
      </c>
      <c r="F141">
        <v>335590.35573220561</v>
      </c>
    </row>
    <row r="142" spans="1:6" x14ac:dyDescent="0.25">
      <c r="A142" t="s">
        <v>151</v>
      </c>
      <c r="B142" t="s">
        <v>11</v>
      </c>
      <c r="C142" t="s">
        <v>42</v>
      </c>
      <c r="D142" t="s">
        <v>48</v>
      </c>
      <c r="E142">
        <v>2019</v>
      </c>
      <c r="F142">
        <v>279550.24796430691</v>
      </c>
    </row>
    <row r="143" spans="1:6" x14ac:dyDescent="0.25">
      <c r="A143" t="s">
        <v>151</v>
      </c>
      <c r="B143" t="s">
        <v>11</v>
      </c>
      <c r="C143" t="s">
        <v>42</v>
      </c>
      <c r="D143" t="s">
        <v>49</v>
      </c>
      <c r="E143">
        <v>2019</v>
      </c>
      <c r="F143">
        <v>85892.328449707566</v>
      </c>
    </row>
    <row r="144" spans="1:6" x14ac:dyDescent="0.25">
      <c r="A144" t="s">
        <v>151</v>
      </c>
      <c r="B144" t="s">
        <v>11</v>
      </c>
      <c r="C144" t="s">
        <v>42</v>
      </c>
      <c r="D144" t="s">
        <v>50</v>
      </c>
      <c r="E144">
        <v>2019</v>
      </c>
      <c r="F144">
        <v>0</v>
      </c>
    </row>
    <row r="145" spans="1:6" x14ac:dyDescent="0.25">
      <c r="A145" t="s">
        <v>151</v>
      </c>
      <c r="B145" t="s">
        <v>11</v>
      </c>
      <c r="C145" t="s">
        <v>42</v>
      </c>
      <c r="D145" t="s">
        <v>51</v>
      </c>
      <c r="E145">
        <v>2019</v>
      </c>
      <c r="F145">
        <v>22795.107252838847</v>
      </c>
    </row>
    <row r="146" spans="1:6" x14ac:dyDescent="0.25">
      <c r="A146" t="s">
        <v>151</v>
      </c>
      <c r="B146" t="s">
        <v>11</v>
      </c>
      <c r="C146" t="s">
        <v>42</v>
      </c>
      <c r="D146" t="s">
        <v>28</v>
      </c>
      <c r="E146">
        <v>2019</v>
      </c>
      <c r="F146">
        <v>945.81467090137289</v>
      </c>
    </row>
    <row r="147" spans="1:6" x14ac:dyDescent="0.25">
      <c r="A147" t="s">
        <v>151</v>
      </c>
      <c r="B147" t="s">
        <v>11</v>
      </c>
      <c r="C147" t="s">
        <v>42</v>
      </c>
      <c r="D147" t="s">
        <v>52</v>
      </c>
      <c r="E147">
        <v>2019</v>
      </c>
      <c r="F147">
        <v>9930.836100337272</v>
      </c>
    </row>
    <row r="148" spans="1:6" x14ac:dyDescent="0.25">
      <c r="A148" t="s">
        <v>151</v>
      </c>
      <c r="B148" t="s">
        <v>11</v>
      </c>
      <c r="C148" t="s">
        <v>42</v>
      </c>
      <c r="D148" t="s">
        <v>53</v>
      </c>
      <c r="E148">
        <v>2019</v>
      </c>
      <c r="F148">
        <v>15204.565068438918</v>
      </c>
    </row>
    <row r="149" spans="1:6" x14ac:dyDescent="0.25">
      <c r="A149" t="s">
        <v>151</v>
      </c>
      <c r="B149" t="s">
        <v>11</v>
      </c>
      <c r="C149" t="s">
        <v>42</v>
      </c>
      <c r="D149" t="s">
        <v>54</v>
      </c>
      <c r="E149">
        <v>2019</v>
      </c>
      <c r="F149">
        <v>24543.951075802775</v>
      </c>
    </row>
    <row r="150" spans="1:6" x14ac:dyDescent="0.25">
      <c r="A150" t="s">
        <v>151</v>
      </c>
      <c r="B150" t="s">
        <v>11</v>
      </c>
      <c r="C150" t="s">
        <v>42</v>
      </c>
      <c r="D150" t="s">
        <v>55</v>
      </c>
      <c r="E150">
        <v>2019</v>
      </c>
      <c r="F150">
        <v>35.900188095894634</v>
      </c>
    </row>
    <row r="151" spans="1:6" x14ac:dyDescent="0.25">
      <c r="A151" t="s">
        <v>151</v>
      </c>
      <c r="B151" t="s">
        <v>11</v>
      </c>
      <c r="C151" t="s">
        <v>42</v>
      </c>
      <c r="D151" t="s">
        <v>56</v>
      </c>
      <c r="E151">
        <v>2019</v>
      </c>
      <c r="F151">
        <v>28548.400000000001</v>
      </c>
    </row>
    <row r="152" spans="1:6" x14ac:dyDescent="0.25">
      <c r="A152" t="s">
        <v>151</v>
      </c>
      <c r="B152" t="s">
        <v>11</v>
      </c>
      <c r="C152" t="s">
        <v>42</v>
      </c>
      <c r="D152" t="s">
        <v>34</v>
      </c>
      <c r="E152">
        <v>2019</v>
      </c>
      <c r="F152">
        <v>0</v>
      </c>
    </row>
    <row r="153" spans="1:6" x14ac:dyDescent="0.25">
      <c r="A153" t="s">
        <v>151</v>
      </c>
      <c r="B153" t="s">
        <v>11</v>
      </c>
      <c r="C153" t="s">
        <v>42</v>
      </c>
      <c r="D153" t="s">
        <v>35</v>
      </c>
      <c r="E153">
        <v>2019</v>
      </c>
      <c r="F153">
        <v>0</v>
      </c>
    </row>
    <row r="154" spans="1:6" x14ac:dyDescent="0.25">
      <c r="A154" t="s">
        <v>151</v>
      </c>
      <c r="B154" t="s">
        <v>11</v>
      </c>
      <c r="C154" t="s">
        <v>42</v>
      </c>
      <c r="D154" t="s">
        <v>43</v>
      </c>
      <c r="E154">
        <v>2030</v>
      </c>
      <c r="F154">
        <v>1638224.8785321345</v>
      </c>
    </row>
    <row r="155" spans="1:6" x14ac:dyDescent="0.25">
      <c r="A155" t="s">
        <v>151</v>
      </c>
      <c r="B155" t="s">
        <v>11</v>
      </c>
      <c r="C155" t="s">
        <v>42</v>
      </c>
      <c r="D155" t="s">
        <v>44</v>
      </c>
      <c r="E155">
        <v>2030</v>
      </c>
      <c r="F155">
        <v>692091.87949965673</v>
      </c>
    </row>
    <row r="156" spans="1:6" x14ac:dyDescent="0.25">
      <c r="A156" t="s">
        <v>151</v>
      </c>
      <c r="B156" t="s">
        <v>11</v>
      </c>
      <c r="C156" t="s">
        <v>42</v>
      </c>
      <c r="D156" t="s">
        <v>45</v>
      </c>
      <c r="E156">
        <v>2030</v>
      </c>
      <c r="F156">
        <v>525.15144386464101</v>
      </c>
    </row>
    <row r="157" spans="1:6" x14ac:dyDescent="0.25">
      <c r="A157" t="s">
        <v>151</v>
      </c>
      <c r="B157" t="s">
        <v>11</v>
      </c>
      <c r="C157" t="s">
        <v>42</v>
      </c>
      <c r="D157" t="s">
        <v>46</v>
      </c>
      <c r="E157">
        <v>2030</v>
      </c>
      <c r="F157">
        <v>2508040.5680731749</v>
      </c>
    </row>
    <row r="158" spans="1:6" x14ac:dyDescent="0.25">
      <c r="A158" t="s">
        <v>151</v>
      </c>
      <c r="B158" t="s">
        <v>11</v>
      </c>
      <c r="C158" t="s">
        <v>42</v>
      </c>
      <c r="D158" t="s">
        <v>47</v>
      </c>
      <c r="E158">
        <v>2030</v>
      </c>
      <c r="F158">
        <v>0</v>
      </c>
    </row>
    <row r="159" spans="1:6" x14ac:dyDescent="0.25">
      <c r="A159" t="s">
        <v>151</v>
      </c>
      <c r="B159" t="s">
        <v>11</v>
      </c>
      <c r="C159" t="s">
        <v>42</v>
      </c>
      <c r="D159" t="s">
        <v>48</v>
      </c>
      <c r="E159">
        <v>2030</v>
      </c>
      <c r="F159">
        <v>0</v>
      </c>
    </row>
    <row r="160" spans="1:6" x14ac:dyDescent="0.25">
      <c r="A160" t="s">
        <v>151</v>
      </c>
      <c r="B160" t="s">
        <v>11</v>
      </c>
      <c r="C160" t="s">
        <v>42</v>
      </c>
      <c r="D160" t="s">
        <v>49</v>
      </c>
      <c r="E160">
        <v>2030</v>
      </c>
      <c r="F160">
        <v>268541.33219413611</v>
      </c>
    </row>
    <row r="161" spans="1:6" x14ac:dyDescent="0.25">
      <c r="A161" t="s">
        <v>151</v>
      </c>
      <c r="B161" t="s">
        <v>11</v>
      </c>
      <c r="C161" t="s">
        <v>42</v>
      </c>
      <c r="D161" t="s">
        <v>50</v>
      </c>
      <c r="E161">
        <v>2030</v>
      </c>
      <c r="F161">
        <v>103551.37451739772</v>
      </c>
    </row>
    <row r="162" spans="1:6" x14ac:dyDescent="0.25">
      <c r="A162" t="s">
        <v>151</v>
      </c>
      <c r="B162" t="s">
        <v>11</v>
      </c>
      <c r="C162" t="s">
        <v>42</v>
      </c>
      <c r="D162" t="s">
        <v>51</v>
      </c>
      <c r="E162">
        <v>2030</v>
      </c>
      <c r="F162">
        <v>0</v>
      </c>
    </row>
    <row r="163" spans="1:6" x14ac:dyDescent="0.25">
      <c r="A163" t="s">
        <v>151</v>
      </c>
      <c r="B163" t="s">
        <v>11</v>
      </c>
      <c r="C163" t="s">
        <v>42</v>
      </c>
      <c r="D163" t="s">
        <v>28</v>
      </c>
      <c r="E163">
        <v>2030</v>
      </c>
      <c r="F163">
        <v>0</v>
      </c>
    </row>
    <row r="164" spans="1:6" x14ac:dyDescent="0.25">
      <c r="A164" t="s">
        <v>151</v>
      </c>
      <c r="B164" t="s">
        <v>11</v>
      </c>
      <c r="C164" t="s">
        <v>42</v>
      </c>
      <c r="D164" t="s">
        <v>52</v>
      </c>
      <c r="E164">
        <v>2030</v>
      </c>
      <c r="F164">
        <v>0</v>
      </c>
    </row>
    <row r="165" spans="1:6" x14ac:dyDescent="0.25">
      <c r="A165" t="s">
        <v>151</v>
      </c>
      <c r="B165" t="s">
        <v>11</v>
      </c>
      <c r="C165" t="s">
        <v>42</v>
      </c>
      <c r="D165" t="s">
        <v>53</v>
      </c>
      <c r="E165">
        <v>2030</v>
      </c>
      <c r="F165">
        <v>0</v>
      </c>
    </row>
    <row r="166" spans="1:6" x14ac:dyDescent="0.25">
      <c r="A166" t="s">
        <v>151</v>
      </c>
      <c r="B166" t="s">
        <v>11</v>
      </c>
      <c r="C166" t="s">
        <v>42</v>
      </c>
      <c r="D166" t="s">
        <v>54</v>
      </c>
      <c r="E166">
        <v>2030</v>
      </c>
      <c r="F166">
        <v>0</v>
      </c>
    </row>
    <row r="167" spans="1:6" x14ac:dyDescent="0.25">
      <c r="A167" t="s">
        <v>151</v>
      </c>
      <c r="B167" t="s">
        <v>11</v>
      </c>
      <c r="C167" t="s">
        <v>42</v>
      </c>
      <c r="D167" t="s">
        <v>55</v>
      </c>
      <c r="E167">
        <v>2030</v>
      </c>
      <c r="F167">
        <v>348039.31140100124</v>
      </c>
    </row>
    <row r="168" spans="1:6" x14ac:dyDescent="0.25">
      <c r="A168" t="s">
        <v>151</v>
      </c>
      <c r="B168" t="s">
        <v>11</v>
      </c>
      <c r="C168" t="s">
        <v>42</v>
      </c>
      <c r="D168" t="s">
        <v>56</v>
      </c>
      <c r="E168">
        <v>2030</v>
      </c>
      <c r="F168">
        <v>28548.400000000001</v>
      </c>
    </row>
    <row r="169" spans="1:6" x14ac:dyDescent="0.25">
      <c r="A169" t="s">
        <v>151</v>
      </c>
      <c r="B169" t="s">
        <v>11</v>
      </c>
      <c r="C169" t="s">
        <v>42</v>
      </c>
      <c r="D169" t="s">
        <v>34</v>
      </c>
      <c r="E169">
        <v>2030</v>
      </c>
      <c r="F169">
        <v>0</v>
      </c>
    </row>
    <row r="170" spans="1:6" x14ac:dyDescent="0.25">
      <c r="A170" t="s">
        <v>151</v>
      </c>
      <c r="B170" t="s">
        <v>11</v>
      </c>
      <c r="C170" t="s">
        <v>42</v>
      </c>
      <c r="D170" t="s">
        <v>35</v>
      </c>
      <c r="E170">
        <v>2030</v>
      </c>
      <c r="F170">
        <v>0</v>
      </c>
    </row>
    <row r="171" spans="1:6" x14ac:dyDescent="0.25">
      <c r="A171" t="s">
        <v>151</v>
      </c>
      <c r="B171" t="s">
        <v>11</v>
      </c>
      <c r="C171" t="s">
        <v>42</v>
      </c>
      <c r="D171" t="s">
        <v>43</v>
      </c>
      <c r="E171">
        <v>2050</v>
      </c>
      <c r="F171">
        <v>1882077.6974735428</v>
      </c>
    </row>
    <row r="172" spans="1:6" x14ac:dyDescent="0.25">
      <c r="A172" t="s">
        <v>151</v>
      </c>
      <c r="B172" t="s">
        <v>11</v>
      </c>
      <c r="C172" t="s">
        <v>42</v>
      </c>
      <c r="D172" t="s">
        <v>44</v>
      </c>
      <c r="E172">
        <v>2050</v>
      </c>
      <c r="F172">
        <v>814640.76605924184</v>
      </c>
    </row>
    <row r="173" spans="1:6" x14ac:dyDescent="0.25">
      <c r="A173" t="s">
        <v>151</v>
      </c>
      <c r="B173" t="s">
        <v>11</v>
      </c>
      <c r="C173" t="s">
        <v>42</v>
      </c>
      <c r="D173" t="s">
        <v>45</v>
      </c>
      <c r="E173">
        <v>2050</v>
      </c>
      <c r="F173">
        <v>650.78855763169781</v>
      </c>
    </row>
    <row r="174" spans="1:6" x14ac:dyDescent="0.25">
      <c r="A174" t="s">
        <v>151</v>
      </c>
      <c r="B174" t="s">
        <v>11</v>
      </c>
      <c r="C174" t="s">
        <v>42</v>
      </c>
      <c r="D174" t="s">
        <v>46</v>
      </c>
      <c r="E174">
        <v>2050</v>
      </c>
      <c r="F174">
        <v>3150253.3426541099</v>
      </c>
    </row>
    <row r="175" spans="1:6" x14ac:dyDescent="0.25">
      <c r="A175" t="s">
        <v>151</v>
      </c>
      <c r="B175" t="s">
        <v>11</v>
      </c>
      <c r="C175" t="s">
        <v>42</v>
      </c>
      <c r="D175" t="s">
        <v>47</v>
      </c>
      <c r="E175">
        <v>2050</v>
      </c>
      <c r="F175">
        <v>0</v>
      </c>
    </row>
    <row r="176" spans="1:6" x14ac:dyDescent="0.25">
      <c r="A176" t="s">
        <v>151</v>
      </c>
      <c r="B176" t="s">
        <v>11</v>
      </c>
      <c r="C176" t="s">
        <v>42</v>
      </c>
      <c r="D176" t="s">
        <v>48</v>
      </c>
      <c r="E176">
        <v>2050</v>
      </c>
      <c r="F176">
        <v>0</v>
      </c>
    </row>
    <row r="177" spans="1:6" x14ac:dyDescent="0.25">
      <c r="A177" t="s">
        <v>151</v>
      </c>
      <c r="B177" t="s">
        <v>11</v>
      </c>
      <c r="C177" t="s">
        <v>42</v>
      </c>
      <c r="D177" t="s">
        <v>49</v>
      </c>
      <c r="E177">
        <v>2050</v>
      </c>
      <c r="F177">
        <v>339352.29631439992</v>
      </c>
    </row>
    <row r="178" spans="1:6" x14ac:dyDescent="0.25">
      <c r="A178" t="s">
        <v>151</v>
      </c>
      <c r="B178" t="s">
        <v>11</v>
      </c>
      <c r="C178" t="s">
        <v>42</v>
      </c>
      <c r="D178" t="s">
        <v>50</v>
      </c>
      <c r="E178">
        <v>2050</v>
      </c>
      <c r="F178">
        <v>192605.55660235969</v>
      </c>
    </row>
    <row r="179" spans="1:6" x14ac:dyDescent="0.25">
      <c r="A179" t="s">
        <v>151</v>
      </c>
      <c r="B179" t="s">
        <v>11</v>
      </c>
      <c r="C179" t="s">
        <v>42</v>
      </c>
      <c r="D179" t="s">
        <v>51</v>
      </c>
      <c r="E179">
        <v>2050</v>
      </c>
      <c r="F179">
        <v>0</v>
      </c>
    </row>
    <row r="180" spans="1:6" x14ac:dyDescent="0.25">
      <c r="A180" t="s">
        <v>151</v>
      </c>
      <c r="B180" t="s">
        <v>11</v>
      </c>
      <c r="C180" t="s">
        <v>42</v>
      </c>
      <c r="D180" t="s">
        <v>28</v>
      </c>
      <c r="E180">
        <v>2050</v>
      </c>
      <c r="F180">
        <v>0</v>
      </c>
    </row>
    <row r="181" spans="1:6" x14ac:dyDescent="0.25">
      <c r="A181" t="s">
        <v>151</v>
      </c>
      <c r="B181" t="s">
        <v>11</v>
      </c>
      <c r="C181" t="s">
        <v>42</v>
      </c>
      <c r="D181" t="s">
        <v>52</v>
      </c>
      <c r="E181">
        <v>2050</v>
      </c>
      <c r="F181">
        <v>0</v>
      </c>
    </row>
    <row r="182" spans="1:6" x14ac:dyDescent="0.25">
      <c r="A182" t="s">
        <v>151</v>
      </c>
      <c r="B182" t="s">
        <v>11</v>
      </c>
      <c r="C182" t="s">
        <v>42</v>
      </c>
      <c r="D182" t="s">
        <v>53</v>
      </c>
      <c r="E182">
        <v>2050</v>
      </c>
      <c r="F182">
        <v>0</v>
      </c>
    </row>
    <row r="183" spans="1:6" x14ac:dyDescent="0.25">
      <c r="A183" t="s">
        <v>151</v>
      </c>
      <c r="B183" t="s">
        <v>11</v>
      </c>
      <c r="C183" t="s">
        <v>42</v>
      </c>
      <c r="D183" t="s">
        <v>54</v>
      </c>
      <c r="E183">
        <v>2050</v>
      </c>
      <c r="F183">
        <v>0</v>
      </c>
    </row>
    <row r="184" spans="1:6" x14ac:dyDescent="0.25">
      <c r="A184" t="s">
        <v>151</v>
      </c>
      <c r="B184" t="s">
        <v>11</v>
      </c>
      <c r="C184" t="s">
        <v>42</v>
      </c>
      <c r="D184" t="s">
        <v>55</v>
      </c>
      <c r="E184">
        <v>2050</v>
      </c>
      <c r="F184">
        <v>456618.20807643177</v>
      </c>
    </row>
    <row r="185" spans="1:6" x14ac:dyDescent="0.25">
      <c r="A185" t="s">
        <v>151</v>
      </c>
      <c r="B185" t="s">
        <v>11</v>
      </c>
      <c r="C185" t="s">
        <v>42</v>
      </c>
      <c r="D185" t="s">
        <v>56</v>
      </c>
      <c r="E185">
        <v>2050</v>
      </c>
      <c r="F185">
        <v>28548.400000000001</v>
      </c>
    </row>
    <row r="186" spans="1:6" x14ac:dyDescent="0.25">
      <c r="A186" t="s">
        <v>151</v>
      </c>
      <c r="B186" t="s">
        <v>11</v>
      </c>
      <c r="C186" t="s">
        <v>42</v>
      </c>
      <c r="D186" t="s">
        <v>34</v>
      </c>
      <c r="E186">
        <v>2050</v>
      </c>
      <c r="F186">
        <v>0</v>
      </c>
    </row>
    <row r="187" spans="1:6" x14ac:dyDescent="0.25">
      <c r="A187" t="s">
        <v>151</v>
      </c>
      <c r="B187" t="s">
        <v>11</v>
      </c>
      <c r="C187" t="s">
        <v>42</v>
      </c>
      <c r="D187" t="s">
        <v>35</v>
      </c>
      <c r="E187">
        <v>2050</v>
      </c>
      <c r="F187">
        <v>0</v>
      </c>
    </row>
    <row r="188" spans="1:6" x14ac:dyDescent="0.25">
      <c r="A188" t="s">
        <v>151</v>
      </c>
      <c r="B188" t="s">
        <v>8</v>
      </c>
      <c r="C188" t="s">
        <v>27</v>
      </c>
      <c r="D188" t="s">
        <v>28</v>
      </c>
      <c r="E188">
        <v>2019</v>
      </c>
      <c r="F188">
        <v>5879215.2019956242</v>
      </c>
    </row>
    <row r="189" spans="1:6" x14ac:dyDescent="0.25">
      <c r="A189" t="s">
        <v>151</v>
      </c>
      <c r="B189" t="s">
        <v>8</v>
      </c>
      <c r="C189" t="s">
        <v>27</v>
      </c>
      <c r="D189" t="s">
        <v>51</v>
      </c>
      <c r="E189">
        <v>2019</v>
      </c>
      <c r="F189">
        <v>773085.89354292618</v>
      </c>
    </row>
    <row r="190" spans="1:6" x14ac:dyDescent="0.25">
      <c r="A190" t="s">
        <v>151</v>
      </c>
      <c r="B190" t="s">
        <v>8</v>
      </c>
      <c r="C190" t="s">
        <v>27</v>
      </c>
      <c r="D190" t="s">
        <v>30</v>
      </c>
      <c r="E190">
        <v>2019</v>
      </c>
      <c r="F190">
        <v>0</v>
      </c>
    </row>
    <row r="191" spans="1:6" x14ac:dyDescent="0.25">
      <c r="A191" t="s">
        <v>151</v>
      </c>
      <c r="B191" t="s">
        <v>8</v>
      </c>
      <c r="C191" t="s">
        <v>27</v>
      </c>
      <c r="D191" t="s">
        <v>33</v>
      </c>
      <c r="E191">
        <v>2019</v>
      </c>
      <c r="F191">
        <v>64498.47547519199</v>
      </c>
    </row>
    <row r="192" spans="1:6" x14ac:dyDescent="0.25">
      <c r="A192" t="s">
        <v>151</v>
      </c>
      <c r="B192" t="s">
        <v>8</v>
      </c>
      <c r="C192" t="s">
        <v>27</v>
      </c>
      <c r="D192" t="s">
        <v>54</v>
      </c>
      <c r="E192">
        <v>2019</v>
      </c>
      <c r="F192">
        <v>841167.61765562883</v>
      </c>
    </row>
    <row r="193" spans="1:6" x14ac:dyDescent="0.25">
      <c r="A193" t="s">
        <v>151</v>
      </c>
      <c r="B193" t="s">
        <v>8</v>
      </c>
      <c r="C193" t="s">
        <v>27</v>
      </c>
      <c r="D193" t="s">
        <v>53</v>
      </c>
      <c r="E193">
        <v>2019</v>
      </c>
      <c r="F193">
        <v>5657053.7864699634</v>
      </c>
    </row>
    <row r="194" spans="1:6" x14ac:dyDescent="0.25">
      <c r="A194" t="s">
        <v>151</v>
      </c>
      <c r="B194" t="s">
        <v>8</v>
      </c>
      <c r="C194" t="s">
        <v>27</v>
      </c>
      <c r="D194" t="s">
        <v>57</v>
      </c>
      <c r="E194">
        <v>2019</v>
      </c>
      <c r="F194">
        <v>214099.10609126228</v>
      </c>
    </row>
    <row r="195" spans="1:6" x14ac:dyDescent="0.25">
      <c r="A195" t="s">
        <v>151</v>
      </c>
      <c r="B195" t="s">
        <v>8</v>
      </c>
      <c r="C195" t="s">
        <v>27</v>
      </c>
      <c r="D195" t="s">
        <v>35</v>
      </c>
      <c r="E195">
        <v>2019</v>
      </c>
      <c r="F195">
        <v>0</v>
      </c>
    </row>
    <row r="196" spans="1:6" x14ac:dyDescent="0.25">
      <c r="A196" t="s">
        <v>151</v>
      </c>
      <c r="B196" t="s">
        <v>8</v>
      </c>
      <c r="C196" t="s">
        <v>27</v>
      </c>
      <c r="D196" t="s">
        <v>34</v>
      </c>
      <c r="E196">
        <v>2019</v>
      </c>
      <c r="F196">
        <v>0</v>
      </c>
    </row>
    <row r="197" spans="1:6" x14ac:dyDescent="0.25">
      <c r="A197" t="s">
        <v>151</v>
      </c>
      <c r="B197" t="s">
        <v>8</v>
      </c>
      <c r="C197" t="s">
        <v>27</v>
      </c>
      <c r="D197" t="s">
        <v>52</v>
      </c>
      <c r="E197">
        <v>2019</v>
      </c>
      <c r="F197">
        <v>12237689.9092583</v>
      </c>
    </row>
    <row r="198" spans="1:6" x14ac:dyDescent="0.25">
      <c r="A198" t="s">
        <v>151</v>
      </c>
      <c r="B198" t="s">
        <v>8</v>
      </c>
      <c r="C198" t="s">
        <v>27</v>
      </c>
      <c r="D198" t="s">
        <v>58</v>
      </c>
      <c r="E198">
        <v>2019</v>
      </c>
      <c r="F198">
        <v>1515714.1736670118</v>
      </c>
    </row>
    <row r="199" spans="1:6" x14ac:dyDescent="0.25">
      <c r="A199" t="s">
        <v>151</v>
      </c>
      <c r="B199" t="s">
        <v>8</v>
      </c>
      <c r="C199" t="s">
        <v>27</v>
      </c>
      <c r="D199" t="s">
        <v>59</v>
      </c>
      <c r="E199">
        <v>2019</v>
      </c>
      <c r="F199">
        <v>0</v>
      </c>
    </row>
    <row r="200" spans="1:6" x14ac:dyDescent="0.25">
      <c r="A200" t="s">
        <v>151</v>
      </c>
      <c r="B200" t="s">
        <v>8</v>
      </c>
      <c r="C200" t="s">
        <v>27</v>
      </c>
      <c r="D200" t="s">
        <v>60</v>
      </c>
      <c r="E200">
        <v>2019</v>
      </c>
      <c r="F200">
        <v>0</v>
      </c>
    </row>
    <row r="201" spans="1:6" x14ac:dyDescent="0.25">
      <c r="A201" t="s">
        <v>151</v>
      </c>
      <c r="B201" t="s">
        <v>8</v>
      </c>
      <c r="C201" t="s">
        <v>27</v>
      </c>
      <c r="D201" t="s">
        <v>61</v>
      </c>
      <c r="E201">
        <v>2019</v>
      </c>
      <c r="F201">
        <v>39415.735012617326</v>
      </c>
    </row>
    <row r="202" spans="1:6" x14ac:dyDescent="0.25">
      <c r="A202" t="s">
        <v>151</v>
      </c>
      <c r="B202" t="s">
        <v>8</v>
      </c>
      <c r="C202" t="s">
        <v>27</v>
      </c>
      <c r="D202" t="s">
        <v>62</v>
      </c>
      <c r="E202">
        <v>2019</v>
      </c>
      <c r="F202">
        <v>4828427.5390456235</v>
      </c>
    </row>
    <row r="203" spans="1:6" x14ac:dyDescent="0.25">
      <c r="A203" t="s">
        <v>151</v>
      </c>
      <c r="B203" t="s">
        <v>8</v>
      </c>
      <c r="C203" t="s">
        <v>27</v>
      </c>
      <c r="D203" t="s">
        <v>28</v>
      </c>
      <c r="E203">
        <v>2030</v>
      </c>
      <c r="F203">
        <v>5880011.5738482485</v>
      </c>
    </row>
    <row r="204" spans="1:6" x14ac:dyDescent="0.25">
      <c r="A204" t="s">
        <v>151</v>
      </c>
      <c r="B204" t="s">
        <v>8</v>
      </c>
      <c r="C204" t="s">
        <v>27</v>
      </c>
      <c r="D204" t="s">
        <v>51</v>
      </c>
      <c r="E204">
        <v>2030</v>
      </c>
      <c r="F204">
        <v>696107.27987490175</v>
      </c>
    </row>
    <row r="205" spans="1:6" x14ac:dyDescent="0.25">
      <c r="A205" t="s">
        <v>151</v>
      </c>
      <c r="B205" t="s">
        <v>8</v>
      </c>
      <c r="C205" t="s">
        <v>27</v>
      </c>
      <c r="D205" t="s">
        <v>30</v>
      </c>
      <c r="E205">
        <v>2030</v>
      </c>
      <c r="F205">
        <v>0</v>
      </c>
    </row>
    <row r="206" spans="1:6" x14ac:dyDescent="0.25">
      <c r="A206" t="s">
        <v>151</v>
      </c>
      <c r="B206" t="s">
        <v>8</v>
      </c>
      <c r="C206" t="s">
        <v>27</v>
      </c>
      <c r="D206" t="s">
        <v>33</v>
      </c>
      <c r="E206">
        <v>2030</v>
      </c>
      <c r="F206">
        <v>64498.475475191975</v>
      </c>
    </row>
    <row r="207" spans="1:6" x14ac:dyDescent="0.25">
      <c r="A207" t="s">
        <v>151</v>
      </c>
      <c r="B207" t="s">
        <v>8</v>
      </c>
      <c r="C207" t="s">
        <v>27</v>
      </c>
      <c r="D207" t="s">
        <v>54</v>
      </c>
      <c r="E207">
        <v>2030</v>
      </c>
      <c r="F207">
        <v>1824139.6252331052</v>
      </c>
    </row>
    <row r="208" spans="1:6" x14ac:dyDescent="0.25">
      <c r="A208" t="s">
        <v>151</v>
      </c>
      <c r="B208" t="s">
        <v>8</v>
      </c>
      <c r="C208" t="s">
        <v>27</v>
      </c>
      <c r="D208" t="s">
        <v>53</v>
      </c>
      <c r="E208">
        <v>2030</v>
      </c>
      <c r="F208">
        <v>5742281.5453988183</v>
      </c>
    </row>
    <row r="209" spans="1:6" x14ac:dyDescent="0.25">
      <c r="A209" t="s">
        <v>151</v>
      </c>
      <c r="B209" t="s">
        <v>8</v>
      </c>
      <c r="C209" t="s">
        <v>27</v>
      </c>
      <c r="D209" t="s">
        <v>57</v>
      </c>
      <c r="E209">
        <v>2030</v>
      </c>
      <c r="F209">
        <v>262373.56843565725</v>
      </c>
    </row>
    <row r="210" spans="1:6" x14ac:dyDescent="0.25">
      <c r="A210" t="s">
        <v>151</v>
      </c>
      <c r="B210" t="s">
        <v>8</v>
      </c>
      <c r="C210" t="s">
        <v>27</v>
      </c>
      <c r="D210" t="s">
        <v>35</v>
      </c>
      <c r="E210">
        <v>2030</v>
      </c>
      <c r="F210">
        <v>97268.074687720582</v>
      </c>
    </row>
    <row r="211" spans="1:6" x14ac:dyDescent="0.25">
      <c r="A211" t="s">
        <v>151</v>
      </c>
      <c r="B211" t="s">
        <v>8</v>
      </c>
      <c r="C211" t="s">
        <v>27</v>
      </c>
      <c r="D211" t="s">
        <v>34</v>
      </c>
      <c r="E211">
        <v>2030</v>
      </c>
      <c r="F211">
        <v>140728.27827159571</v>
      </c>
    </row>
    <row r="212" spans="1:6" x14ac:dyDescent="0.25">
      <c r="A212" t="s">
        <v>151</v>
      </c>
      <c r="B212" t="s">
        <v>8</v>
      </c>
      <c r="C212" t="s">
        <v>27</v>
      </c>
      <c r="D212" t="s">
        <v>52</v>
      </c>
      <c r="E212">
        <v>2030</v>
      </c>
      <c r="F212">
        <v>11930939.715450084</v>
      </c>
    </row>
    <row r="213" spans="1:6" x14ac:dyDescent="0.25">
      <c r="A213" t="s">
        <v>151</v>
      </c>
      <c r="B213" t="s">
        <v>8</v>
      </c>
      <c r="C213" t="s">
        <v>27</v>
      </c>
      <c r="D213" t="s">
        <v>58</v>
      </c>
      <c r="E213">
        <v>2030</v>
      </c>
      <c r="F213">
        <v>1373162.6504626232</v>
      </c>
    </row>
    <row r="214" spans="1:6" x14ac:dyDescent="0.25">
      <c r="A214" t="s">
        <v>151</v>
      </c>
      <c r="B214" t="s">
        <v>8</v>
      </c>
      <c r="C214" t="s">
        <v>27</v>
      </c>
      <c r="D214" t="s">
        <v>59</v>
      </c>
      <c r="E214">
        <v>2030</v>
      </c>
      <c r="F214">
        <v>812348.75563371019</v>
      </c>
    </row>
    <row r="215" spans="1:6" x14ac:dyDescent="0.25">
      <c r="A215" t="s">
        <v>151</v>
      </c>
      <c r="B215" t="s">
        <v>8</v>
      </c>
      <c r="C215" t="s">
        <v>27</v>
      </c>
      <c r="D215" t="s">
        <v>60</v>
      </c>
      <c r="E215">
        <v>2030</v>
      </c>
      <c r="F215">
        <v>384827.87367359997</v>
      </c>
    </row>
    <row r="216" spans="1:6" x14ac:dyDescent="0.25">
      <c r="A216" t="s">
        <v>151</v>
      </c>
      <c r="B216" t="s">
        <v>8</v>
      </c>
      <c r="C216" t="s">
        <v>27</v>
      </c>
      <c r="D216" t="s">
        <v>61</v>
      </c>
      <c r="E216">
        <v>2030</v>
      </c>
      <c r="F216">
        <v>43293.135788279993</v>
      </c>
    </row>
    <row r="217" spans="1:6" x14ac:dyDescent="0.25">
      <c r="A217" t="s">
        <v>151</v>
      </c>
      <c r="B217" t="s">
        <v>8</v>
      </c>
      <c r="C217" t="s">
        <v>27</v>
      </c>
      <c r="D217" t="s">
        <v>62</v>
      </c>
      <c r="E217">
        <v>2030</v>
      </c>
      <c r="F217">
        <v>2414213.7695228113</v>
      </c>
    </row>
    <row r="218" spans="1:6" x14ac:dyDescent="0.25">
      <c r="A218" t="s">
        <v>151</v>
      </c>
      <c r="B218" t="s">
        <v>8</v>
      </c>
      <c r="C218" t="s">
        <v>27</v>
      </c>
      <c r="D218" t="s">
        <v>28</v>
      </c>
      <c r="E218">
        <v>2050</v>
      </c>
      <c r="F218">
        <v>5835911.4870443856</v>
      </c>
    </row>
    <row r="219" spans="1:6" x14ac:dyDescent="0.25">
      <c r="A219" t="s">
        <v>151</v>
      </c>
      <c r="B219" t="s">
        <v>8</v>
      </c>
      <c r="C219" t="s">
        <v>27</v>
      </c>
      <c r="D219" t="s">
        <v>51</v>
      </c>
      <c r="E219">
        <v>2050</v>
      </c>
      <c r="F219">
        <v>696107.27987490175</v>
      </c>
    </row>
    <row r="220" spans="1:6" x14ac:dyDescent="0.25">
      <c r="A220" t="s">
        <v>151</v>
      </c>
      <c r="B220" t="s">
        <v>8</v>
      </c>
      <c r="C220" t="s">
        <v>27</v>
      </c>
      <c r="D220" t="s">
        <v>30</v>
      </c>
      <c r="E220">
        <v>2050</v>
      </c>
      <c r="F220">
        <v>0</v>
      </c>
    </row>
    <row r="221" spans="1:6" x14ac:dyDescent="0.25">
      <c r="A221" t="s">
        <v>151</v>
      </c>
      <c r="B221" t="s">
        <v>8</v>
      </c>
      <c r="C221" t="s">
        <v>27</v>
      </c>
      <c r="D221" t="s">
        <v>33</v>
      </c>
      <c r="E221">
        <v>2050</v>
      </c>
      <c r="F221">
        <v>64498.475475191975</v>
      </c>
    </row>
    <row r="222" spans="1:6" x14ac:dyDescent="0.25">
      <c r="A222" t="s">
        <v>151</v>
      </c>
      <c r="B222" t="s">
        <v>8</v>
      </c>
      <c r="C222" t="s">
        <v>27</v>
      </c>
      <c r="D222" t="s">
        <v>54</v>
      </c>
      <c r="E222">
        <v>2050</v>
      </c>
      <c r="F222">
        <v>7470286.0842879545</v>
      </c>
    </row>
    <row r="223" spans="1:6" x14ac:dyDescent="0.25">
      <c r="A223" t="s">
        <v>151</v>
      </c>
      <c r="B223" t="s">
        <v>8</v>
      </c>
      <c r="C223" t="s">
        <v>27</v>
      </c>
      <c r="D223" t="s">
        <v>53</v>
      </c>
      <c r="E223">
        <v>2050</v>
      </c>
      <c r="F223">
        <v>6191677.4924300304</v>
      </c>
    </row>
    <row r="224" spans="1:6" x14ac:dyDescent="0.25">
      <c r="A224" t="s">
        <v>151</v>
      </c>
      <c r="B224" t="s">
        <v>8</v>
      </c>
      <c r="C224" t="s">
        <v>27</v>
      </c>
      <c r="D224" t="s">
        <v>57</v>
      </c>
      <c r="E224">
        <v>2050</v>
      </c>
      <c r="F224">
        <v>262373.56843565725</v>
      </c>
    </row>
    <row r="225" spans="1:6" x14ac:dyDescent="0.25">
      <c r="A225" t="s">
        <v>151</v>
      </c>
      <c r="B225" t="s">
        <v>8</v>
      </c>
      <c r="C225" t="s">
        <v>27</v>
      </c>
      <c r="D225" t="s">
        <v>35</v>
      </c>
      <c r="E225">
        <v>2050</v>
      </c>
      <c r="F225">
        <v>97268.074687720582</v>
      </c>
    </row>
    <row r="226" spans="1:6" x14ac:dyDescent="0.25">
      <c r="A226" t="s">
        <v>151</v>
      </c>
      <c r="B226" t="s">
        <v>8</v>
      </c>
      <c r="C226" t="s">
        <v>27</v>
      </c>
      <c r="D226" t="s">
        <v>34</v>
      </c>
      <c r="E226">
        <v>2050</v>
      </c>
      <c r="F226">
        <v>234547.13045265959</v>
      </c>
    </row>
    <row r="227" spans="1:6" x14ac:dyDescent="0.25">
      <c r="A227" t="s">
        <v>151</v>
      </c>
      <c r="B227" t="s">
        <v>8</v>
      </c>
      <c r="C227" t="s">
        <v>27</v>
      </c>
      <c r="D227" t="s">
        <v>52</v>
      </c>
      <c r="E227">
        <v>2050</v>
      </c>
      <c r="F227">
        <v>11930939.715450084</v>
      </c>
    </row>
    <row r="228" spans="1:6" x14ac:dyDescent="0.25">
      <c r="A228" t="s">
        <v>151</v>
      </c>
      <c r="B228" t="s">
        <v>8</v>
      </c>
      <c r="C228" t="s">
        <v>27</v>
      </c>
      <c r="D228" t="s">
        <v>58</v>
      </c>
      <c r="E228">
        <v>2050</v>
      </c>
      <c r="F228">
        <v>1373162.6504626232</v>
      </c>
    </row>
    <row r="229" spans="1:6" x14ac:dyDescent="0.25">
      <c r="A229" t="s">
        <v>151</v>
      </c>
      <c r="B229" t="s">
        <v>8</v>
      </c>
      <c r="C229" t="s">
        <v>27</v>
      </c>
      <c r="D229" t="s">
        <v>59</v>
      </c>
      <c r="E229">
        <v>2050</v>
      </c>
      <c r="F229">
        <v>1239900.7322830316</v>
      </c>
    </row>
    <row r="230" spans="1:6" x14ac:dyDescent="0.25">
      <c r="A230" t="s">
        <v>151</v>
      </c>
      <c r="B230" t="s">
        <v>8</v>
      </c>
      <c r="C230" t="s">
        <v>27</v>
      </c>
      <c r="D230" t="s">
        <v>60</v>
      </c>
      <c r="E230">
        <v>2050</v>
      </c>
      <c r="F230">
        <v>596483.20419407997</v>
      </c>
    </row>
    <row r="231" spans="1:6" x14ac:dyDescent="0.25">
      <c r="A231" t="s">
        <v>151</v>
      </c>
      <c r="B231" t="s">
        <v>8</v>
      </c>
      <c r="C231" t="s">
        <v>27</v>
      </c>
      <c r="D231" t="s">
        <v>61</v>
      </c>
      <c r="E231">
        <v>2050</v>
      </c>
      <c r="F231">
        <v>48103.484209199996</v>
      </c>
    </row>
    <row r="232" spans="1:6" x14ac:dyDescent="0.25">
      <c r="A232" t="s">
        <v>151</v>
      </c>
      <c r="B232" t="s">
        <v>8</v>
      </c>
      <c r="C232" t="s">
        <v>27</v>
      </c>
      <c r="D232" t="s">
        <v>62</v>
      </c>
      <c r="E232">
        <v>2050</v>
      </c>
      <c r="F232">
        <v>0</v>
      </c>
    </row>
    <row r="233" spans="1:6" x14ac:dyDescent="0.25">
      <c r="A233" t="s">
        <v>151</v>
      </c>
      <c r="B233" t="s">
        <v>8</v>
      </c>
      <c r="C233" t="s">
        <v>42</v>
      </c>
      <c r="D233" t="s">
        <v>28</v>
      </c>
      <c r="E233">
        <v>2019</v>
      </c>
      <c r="F233">
        <v>721621.60770550335</v>
      </c>
    </row>
    <row r="234" spans="1:6" x14ac:dyDescent="0.25">
      <c r="A234" t="s">
        <v>151</v>
      </c>
      <c r="B234" t="s">
        <v>8</v>
      </c>
      <c r="C234" t="s">
        <v>42</v>
      </c>
      <c r="D234" t="s">
        <v>51</v>
      </c>
      <c r="E234">
        <v>2019</v>
      </c>
      <c r="F234">
        <v>94889.448034412548</v>
      </c>
    </row>
    <row r="235" spans="1:6" x14ac:dyDescent="0.25">
      <c r="A235" t="s">
        <v>151</v>
      </c>
      <c r="B235" t="s">
        <v>8</v>
      </c>
      <c r="C235" t="s">
        <v>42</v>
      </c>
      <c r="D235" t="s">
        <v>30</v>
      </c>
      <c r="E235">
        <v>2019</v>
      </c>
      <c r="F235">
        <v>0</v>
      </c>
    </row>
    <row r="236" spans="1:6" x14ac:dyDescent="0.25">
      <c r="A236" t="s">
        <v>151</v>
      </c>
      <c r="B236" t="s">
        <v>8</v>
      </c>
      <c r="C236" t="s">
        <v>42</v>
      </c>
      <c r="D236" t="s">
        <v>33</v>
      </c>
      <c r="E236">
        <v>2019</v>
      </c>
      <c r="F236">
        <v>7916.616753740097</v>
      </c>
    </row>
    <row r="237" spans="1:6" x14ac:dyDescent="0.25">
      <c r="A237" t="s">
        <v>151</v>
      </c>
      <c r="B237" t="s">
        <v>8</v>
      </c>
      <c r="C237" t="s">
        <v>42</v>
      </c>
      <c r="D237" t="s">
        <v>54</v>
      </c>
      <c r="E237">
        <v>2019</v>
      </c>
      <c r="F237">
        <v>103245.87683002709</v>
      </c>
    </row>
    <row r="238" spans="1:6" x14ac:dyDescent="0.25">
      <c r="A238" t="s">
        <v>151</v>
      </c>
      <c r="B238" t="s">
        <v>8</v>
      </c>
      <c r="C238" t="s">
        <v>42</v>
      </c>
      <c r="D238" t="s">
        <v>53</v>
      </c>
      <c r="E238">
        <v>2019</v>
      </c>
      <c r="F238">
        <v>694353.2611092875</v>
      </c>
    </row>
    <row r="239" spans="1:6" x14ac:dyDescent="0.25">
      <c r="A239" t="s">
        <v>151</v>
      </c>
      <c r="B239" t="s">
        <v>8</v>
      </c>
      <c r="C239" t="s">
        <v>42</v>
      </c>
      <c r="D239" t="s">
        <v>57</v>
      </c>
      <c r="E239">
        <v>2019</v>
      </c>
      <c r="F239">
        <v>26278.769501998373</v>
      </c>
    </row>
    <row r="240" spans="1:6" x14ac:dyDescent="0.25">
      <c r="A240" t="s">
        <v>151</v>
      </c>
      <c r="B240" t="s">
        <v>8</v>
      </c>
      <c r="C240" t="s">
        <v>42</v>
      </c>
      <c r="D240" t="s">
        <v>35</v>
      </c>
      <c r="E240">
        <v>2019</v>
      </c>
      <c r="F240">
        <v>0</v>
      </c>
    </row>
    <row r="241" spans="1:6" x14ac:dyDescent="0.25">
      <c r="A241" t="s">
        <v>151</v>
      </c>
      <c r="B241" t="s">
        <v>8</v>
      </c>
      <c r="C241" t="s">
        <v>42</v>
      </c>
      <c r="D241" t="s">
        <v>34</v>
      </c>
      <c r="E241">
        <v>2019</v>
      </c>
      <c r="F241">
        <v>0</v>
      </c>
    </row>
    <row r="242" spans="1:6" x14ac:dyDescent="0.25">
      <c r="A242" t="s">
        <v>151</v>
      </c>
      <c r="B242" t="s">
        <v>8</v>
      </c>
      <c r="C242" t="s">
        <v>42</v>
      </c>
      <c r="D242" t="s">
        <v>52</v>
      </c>
      <c r="E242">
        <v>2019</v>
      </c>
      <c r="F242">
        <v>1502068.0760117143</v>
      </c>
    </row>
    <row r="243" spans="1:6" x14ac:dyDescent="0.25">
      <c r="A243" t="s">
        <v>151</v>
      </c>
      <c r="B243" t="s">
        <v>8</v>
      </c>
      <c r="C243" t="s">
        <v>42</v>
      </c>
      <c r="D243" t="s">
        <v>58</v>
      </c>
      <c r="E243">
        <v>2019</v>
      </c>
      <c r="F243">
        <v>186040.49371289223</v>
      </c>
    </row>
    <row r="244" spans="1:6" x14ac:dyDescent="0.25">
      <c r="A244" t="s">
        <v>151</v>
      </c>
      <c r="B244" t="s">
        <v>8</v>
      </c>
      <c r="C244" t="s">
        <v>42</v>
      </c>
      <c r="D244" t="s">
        <v>59</v>
      </c>
      <c r="E244">
        <v>2019</v>
      </c>
      <c r="F244">
        <v>0</v>
      </c>
    </row>
    <row r="245" spans="1:6" x14ac:dyDescent="0.25">
      <c r="A245" t="s">
        <v>151</v>
      </c>
      <c r="B245" t="s">
        <v>8</v>
      </c>
      <c r="C245" t="s">
        <v>42</v>
      </c>
      <c r="D245" t="s">
        <v>60</v>
      </c>
      <c r="E245">
        <v>2019</v>
      </c>
      <c r="F245">
        <v>0</v>
      </c>
    </row>
    <row r="246" spans="1:6" x14ac:dyDescent="0.25">
      <c r="A246" t="s">
        <v>151</v>
      </c>
      <c r="B246" t="s">
        <v>8</v>
      </c>
      <c r="C246" t="s">
        <v>42</v>
      </c>
      <c r="D246" t="s">
        <v>61</v>
      </c>
      <c r="E246">
        <v>2019</v>
      </c>
      <c r="F246">
        <v>4837.9324606189475</v>
      </c>
    </row>
    <row r="247" spans="1:6" x14ac:dyDescent="0.25">
      <c r="A247" t="s">
        <v>151</v>
      </c>
      <c r="B247" t="s">
        <v>8</v>
      </c>
      <c r="C247" t="s">
        <v>42</v>
      </c>
      <c r="D247" t="s">
        <v>62</v>
      </c>
      <c r="E247">
        <v>2019</v>
      </c>
      <c r="F247">
        <v>592646.72642582108</v>
      </c>
    </row>
    <row r="248" spans="1:6" x14ac:dyDescent="0.25">
      <c r="A248" t="s">
        <v>151</v>
      </c>
      <c r="B248" t="s">
        <v>8</v>
      </c>
      <c r="C248" t="s">
        <v>42</v>
      </c>
      <c r="D248" t="s">
        <v>28</v>
      </c>
      <c r="E248">
        <v>2030</v>
      </c>
      <c r="F248">
        <v>721719.35529882624</v>
      </c>
    </row>
    <row r="249" spans="1:6" x14ac:dyDescent="0.25">
      <c r="A249" t="s">
        <v>151</v>
      </c>
      <c r="B249" t="s">
        <v>8</v>
      </c>
      <c r="C249" t="s">
        <v>42</v>
      </c>
      <c r="D249" t="s">
        <v>51</v>
      </c>
      <c r="E249">
        <v>2030</v>
      </c>
      <c r="F249">
        <v>85441.004824644522</v>
      </c>
    </row>
    <row r="250" spans="1:6" x14ac:dyDescent="0.25">
      <c r="A250" t="s">
        <v>151</v>
      </c>
      <c r="B250" t="s">
        <v>8</v>
      </c>
      <c r="C250" t="s">
        <v>42</v>
      </c>
      <c r="D250" t="s">
        <v>30</v>
      </c>
      <c r="E250">
        <v>2030</v>
      </c>
      <c r="F250">
        <v>0</v>
      </c>
    </row>
    <row r="251" spans="1:6" x14ac:dyDescent="0.25">
      <c r="A251" t="s">
        <v>151</v>
      </c>
      <c r="B251" t="s">
        <v>8</v>
      </c>
      <c r="C251" t="s">
        <v>42</v>
      </c>
      <c r="D251" t="s">
        <v>33</v>
      </c>
      <c r="E251">
        <v>2030</v>
      </c>
      <c r="F251">
        <v>7916.616753740097</v>
      </c>
    </row>
    <row r="252" spans="1:6" x14ac:dyDescent="0.25">
      <c r="A252" t="s">
        <v>151</v>
      </c>
      <c r="B252" t="s">
        <v>8</v>
      </c>
      <c r="C252" t="s">
        <v>42</v>
      </c>
      <c r="D252" t="s">
        <v>54</v>
      </c>
      <c r="E252">
        <v>2030</v>
      </c>
      <c r="F252">
        <v>223896.98689600852</v>
      </c>
    </row>
    <row r="253" spans="1:6" x14ac:dyDescent="0.25">
      <c r="A253" t="s">
        <v>151</v>
      </c>
      <c r="B253" t="s">
        <v>8</v>
      </c>
      <c r="C253" t="s">
        <v>42</v>
      </c>
      <c r="D253" t="s">
        <v>53</v>
      </c>
      <c r="E253">
        <v>2030</v>
      </c>
      <c r="F253">
        <v>704814.2138566036</v>
      </c>
    </row>
    <row r="254" spans="1:6" x14ac:dyDescent="0.25">
      <c r="A254" t="s">
        <v>151</v>
      </c>
      <c r="B254" t="s">
        <v>8</v>
      </c>
      <c r="C254" t="s">
        <v>42</v>
      </c>
      <c r="D254" t="s">
        <v>57</v>
      </c>
      <c r="E254">
        <v>2030</v>
      </c>
      <c r="F254">
        <v>32204.032301743573</v>
      </c>
    </row>
    <row r="255" spans="1:6" x14ac:dyDescent="0.25">
      <c r="A255" t="s">
        <v>151</v>
      </c>
      <c r="B255" t="s">
        <v>8</v>
      </c>
      <c r="C255" t="s">
        <v>42</v>
      </c>
      <c r="D255" t="s">
        <v>35</v>
      </c>
      <c r="E255">
        <v>2030</v>
      </c>
      <c r="F255">
        <v>11938.794894044118</v>
      </c>
    </row>
    <row r="256" spans="1:6" x14ac:dyDescent="0.25">
      <c r="A256" t="s">
        <v>151</v>
      </c>
      <c r="B256" t="s">
        <v>8</v>
      </c>
      <c r="C256" t="s">
        <v>42</v>
      </c>
      <c r="D256" t="s">
        <v>34</v>
      </c>
      <c r="E256">
        <v>2030</v>
      </c>
      <c r="F256">
        <v>17273.150059468084</v>
      </c>
    </row>
    <row r="257" spans="1:6" x14ac:dyDescent="0.25">
      <c r="A257" t="s">
        <v>151</v>
      </c>
      <c r="B257" t="s">
        <v>8</v>
      </c>
      <c r="C257" t="s">
        <v>42</v>
      </c>
      <c r="D257" t="s">
        <v>52</v>
      </c>
      <c r="E257">
        <v>2030</v>
      </c>
      <c r="F257">
        <v>1464417.2058845724</v>
      </c>
    </row>
    <row r="258" spans="1:6" x14ac:dyDescent="0.25">
      <c r="A258" t="s">
        <v>151</v>
      </c>
      <c r="B258" t="s">
        <v>8</v>
      </c>
      <c r="C258" t="s">
        <v>42</v>
      </c>
      <c r="D258" t="s">
        <v>58</v>
      </c>
      <c r="E258">
        <v>2030</v>
      </c>
      <c r="F258">
        <v>168543.55648210307</v>
      </c>
    </row>
    <row r="259" spans="1:6" x14ac:dyDescent="0.25">
      <c r="A259" t="s">
        <v>151</v>
      </c>
      <c r="B259" t="s">
        <v>8</v>
      </c>
      <c r="C259" t="s">
        <v>42</v>
      </c>
      <c r="D259" t="s">
        <v>59</v>
      </c>
      <c r="E259">
        <v>2030</v>
      </c>
      <c r="F259">
        <v>99708.616697511316</v>
      </c>
    </row>
    <row r="260" spans="1:6" x14ac:dyDescent="0.25">
      <c r="A260" t="s">
        <v>151</v>
      </c>
      <c r="B260" t="s">
        <v>8</v>
      </c>
      <c r="C260" t="s">
        <v>42</v>
      </c>
      <c r="D260" t="s">
        <v>60</v>
      </c>
      <c r="E260">
        <v>2030</v>
      </c>
      <c r="F260">
        <v>47234.213980800007</v>
      </c>
    </row>
    <row r="261" spans="1:6" x14ac:dyDescent="0.25">
      <c r="A261" t="s">
        <v>151</v>
      </c>
      <c r="B261" t="s">
        <v>8</v>
      </c>
      <c r="C261" t="s">
        <v>42</v>
      </c>
      <c r="D261" t="s">
        <v>61</v>
      </c>
      <c r="E261">
        <v>2030</v>
      </c>
      <c r="F261">
        <v>5313.8490728400002</v>
      </c>
    </row>
    <row r="262" spans="1:6" x14ac:dyDescent="0.25">
      <c r="A262" t="s">
        <v>151</v>
      </c>
      <c r="B262" t="s">
        <v>8</v>
      </c>
      <c r="C262" t="s">
        <v>42</v>
      </c>
      <c r="D262" t="s">
        <v>62</v>
      </c>
      <c r="E262">
        <v>2030</v>
      </c>
      <c r="F262">
        <v>296323.3632129106</v>
      </c>
    </row>
    <row r="263" spans="1:6" x14ac:dyDescent="0.25">
      <c r="A263" t="s">
        <v>151</v>
      </c>
      <c r="B263" t="s">
        <v>8</v>
      </c>
      <c r="C263" t="s">
        <v>42</v>
      </c>
      <c r="D263" t="s">
        <v>28</v>
      </c>
      <c r="E263">
        <v>2050</v>
      </c>
      <c r="F263">
        <v>716306.46013408503</v>
      </c>
    </row>
    <row r="264" spans="1:6" x14ac:dyDescent="0.25">
      <c r="A264" t="s">
        <v>151</v>
      </c>
      <c r="B264" t="s">
        <v>8</v>
      </c>
      <c r="C264" t="s">
        <v>42</v>
      </c>
      <c r="D264" t="s">
        <v>51</v>
      </c>
      <c r="E264">
        <v>2050</v>
      </c>
      <c r="F264">
        <v>85441.004824644508</v>
      </c>
    </row>
    <row r="265" spans="1:6" x14ac:dyDescent="0.25">
      <c r="A265" t="s">
        <v>151</v>
      </c>
      <c r="B265" t="s">
        <v>8</v>
      </c>
      <c r="C265" t="s">
        <v>42</v>
      </c>
      <c r="D265" t="s">
        <v>30</v>
      </c>
      <c r="E265">
        <v>2050</v>
      </c>
      <c r="F265">
        <v>0</v>
      </c>
    </row>
    <row r="266" spans="1:6" x14ac:dyDescent="0.25">
      <c r="A266" t="s">
        <v>151</v>
      </c>
      <c r="B266" t="s">
        <v>8</v>
      </c>
      <c r="C266" t="s">
        <v>42</v>
      </c>
      <c r="D266" t="s">
        <v>33</v>
      </c>
      <c r="E266">
        <v>2050</v>
      </c>
      <c r="F266">
        <v>7916.616753740097</v>
      </c>
    </row>
    <row r="267" spans="1:6" x14ac:dyDescent="0.25">
      <c r="A267" t="s">
        <v>151</v>
      </c>
      <c r="B267" t="s">
        <v>8</v>
      </c>
      <c r="C267" t="s">
        <v>42</v>
      </c>
      <c r="D267" t="s">
        <v>54</v>
      </c>
      <c r="E267">
        <v>2050</v>
      </c>
      <c r="F267">
        <v>916911.47014555836</v>
      </c>
    </row>
    <row r="268" spans="1:6" x14ac:dyDescent="0.25">
      <c r="A268" t="s">
        <v>151</v>
      </c>
      <c r="B268" t="s">
        <v>8</v>
      </c>
      <c r="C268" t="s">
        <v>42</v>
      </c>
      <c r="D268" t="s">
        <v>53</v>
      </c>
      <c r="E268">
        <v>2050</v>
      </c>
      <c r="F268">
        <v>759973.58711494633</v>
      </c>
    </row>
    <row r="269" spans="1:6" x14ac:dyDescent="0.25">
      <c r="A269" t="s">
        <v>151</v>
      </c>
      <c r="B269" t="s">
        <v>8</v>
      </c>
      <c r="C269" t="s">
        <v>42</v>
      </c>
      <c r="D269" t="s">
        <v>57</v>
      </c>
      <c r="E269">
        <v>2050</v>
      </c>
      <c r="F269">
        <v>32204.032301743569</v>
      </c>
    </row>
    <row r="270" spans="1:6" x14ac:dyDescent="0.25">
      <c r="A270" t="s">
        <v>151</v>
      </c>
      <c r="B270" t="s">
        <v>8</v>
      </c>
      <c r="C270" t="s">
        <v>42</v>
      </c>
      <c r="D270" t="s">
        <v>35</v>
      </c>
      <c r="E270">
        <v>2050</v>
      </c>
      <c r="F270">
        <v>11938.794894044118</v>
      </c>
    </row>
    <row r="271" spans="1:6" x14ac:dyDescent="0.25">
      <c r="A271" t="s">
        <v>151</v>
      </c>
      <c r="B271" t="s">
        <v>8</v>
      </c>
      <c r="C271" t="s">
        <v>42</v>
      </c>
      <c r="D271" t="s">
        <v>34</v>
      </c>
      <c r="E271">
        <v>2050</v>
      </c>
      <c r="F271">
        <v>28788.583432446812</v>
      </c>
    </row>
    <row r="272" spans="1:6" x14ac:dyDescent="0.25">
      <c r="A272" t="s">
        <v>151</v>
      </c>
      <c r="B272" t="s">
        <v>8</v>
      </c>
      <c r="C272" t="s">
        <v>42</v>
      </c>
      <c r="D272" t="s">
        <v>52</v>
      </c>
      <c r="E272">
        <v>2050</v>
      </c>
      <c r="F272">
        <v>1464417.2058845721</v>
      </c>
    </row>
    <row r="273" spans="1:6" x14ac:dyDescent="0.25">
      <c r="A273" t="s">
        <v>151</v>
      </c>
      <c r="B273" t="s">
        <v>8</v>
      </c>
      <c r="C273" t="s">
        <v>42</v>
      </c>
      <c r="D273" t="s">
        <v>58</v>
      </c>
      <c r="E273">
        <v>2050</v>
      </c>
      <c r="F273">
        <v>168543.55648210307</v>
      </c>
    </row>
    <row r="274" spans="1:6" x14ac:dyDescent="0.25">
      <c r="A274" t="s">
        <v>151</v>
      </c>
      <c r="B274" t="s">
        <v>8</v>
      </c>
      <c r="C274" t="s">
        <v>42</v>
      </c>
      <c r="D274" t="s">
        <v>59</v>
      </c>
      <c r="E274">
        <v>2050</v>
      </c>
      <c r="F274">
        <v>152186.83601199093</v>
      </c>
    </row>
    <row r="275" spans="1:6" x14ac:dyDescent="0.25">
      <c r="A275" t="s">
        <v>151</v>
      </c>
      <c r="B275" t="s">
        <v>8</v>
      </c>
      <c r="C275" t="s">
        <v>42</v>
      </c>
      <c r="D275" t="s">
        <v>60</v>
      </c>
      <c r="E275">
        <v>2050</v>
      </c>
      <c r="F275">
        <v>73213.031670239987</v>
      </c>
    </row>
    <row r="276" spans="1:6" x14ac:dyDescent="0.25">
      <c r="A276" t="s">
        <v>151</v>
      </c>
      <c r="B276" t="s">
        <v>8</v>
      </c>
      <c r="C276" t="s">
        <v>42</v>
      </c>
      <c r="D276" t="s">
        <v>61</v>
      </c>
      <c r="E276">
        <v>2050</v>
      </c>
      <c r="F276">
        <v>5904.2767475999999</v>
      </c>
    </row>
    <row r="277" spans="1:6" x14ac:dyDescent="0.25">
      <c r="A277" t="s">
        <v>151</v>
      </c>
      <c r="B277" t="s">
        <v>8</v>
      </c>
      <c r="C277" t="s">
        <v>42</v>
      </c>
      <c r="D277" t="s">
        <v>62</v>
      </c>
      <c r="E277">
        <v>2050</v>
      </c>
      <c r="F277">
        <v>0</v>
      </c>
    </row>
    <row r="278" spans="1:6" x14ac:dyDescent="0.25">
      <c r="A278" t="s">
        <v>151</v>
      </c>
      <c r="B278" t="s">
        <v>13</v>
      </c>
      <c r="C278" t="s">
        <v>27</v>
      </c>
      <c r="D278" t="s">
        <v>51</v>
      </c>
      <c r="E278">
        <v>2019</v>
      </c>
      <c r="F278">
        <v>1159590.3134327475</v>
      </c>
    </row>
    <row r="279" spans="1:6" x14ac:dyDescent="0.25">
      <c r="A279" t="s">
        <v>151</v>
      </c>
      <c r="B279" t="s">
        <v>13</v>
      </c>
      <c r="C279" t="s">
        <v>27</v>
      </c>
      <c r="D279" t="s">
        <v>63</v>
      </c>
      <c r="E279">
        <v>2019</v>
      </c>
      <c r="F279">
        <v>80676.325166481722</v>
      </c>
    </row>
    <row r="280" spans="1:6" x14ac:dyDescent="0.25">
      <c r="A280" t="s">
        <v>151</v>
      </c>
      <c r="B280" t="s">
        <v>13</v>
      </c>
      <c r="C280" t="s">
        <v>27</v>
      </c>
      <c r="D280" t="s">
        <v>64</v>
      </c>
      <c r="E280">
        <v>2019</v>
      </c>
      <c r="F280">
        <v>172205.06744997756</v>
      </c>
    </row>
    <row r="281" spans="1:6" x14ac:dyDescent="0.25">
      <c r="A281" t="s">
        <v>151</v>
      </c>
      <c r="B281" t="s">
        <v>13</v>
      </c>
      <c r="C281" t="s">
        <v>27</v>
      </c>
      <c r="D281" t="s">
        <v>65</v>
      </c>
      <c r="E281">
        <v>2019</v>
      </c>
      <c r="F281">
        <v>2328635.6388303456</v>
      </c>
    </row>
    <row r="282" spans="1:6" x14ac:dyDescent="0.25">
      <c r="A282" t="s">
        <v>151</v>
      </c>
      <c r="B282" t="s">
        <v>13</v>
      </c>
      <c r="C282" t="s">
        <v>27</v>
      </c>
      <c r="D282" t="s">
        <v>55</v>
      </c>
      <c r="E282">
        <v>2019</v>
      </c>
      <c r="F282">
        <v>530420.38785042788</v>
      </c>
    </row>
    <row r="283" spans="1:6" x14ac:dyDescent="0.25">
      <c r="A283" t="s">
        <v>151</v>
      </c>
      <c r="B283" t="s">
        <v>13</v>
      </c>
      <c r="C283" t="s">
        <v>27</v>
      </c>
      <c r="D283" t="s">
        <v>47</v>
      </c>
      <c r="E283">
        <v>2019</v>
      </c>
      <c r="F283">
        <v>0</v>
      </c>
    </row>
    <row r="284" spans="1:6" x14ac:dyDescent="0.25">
      <c r="A284" t="s">
        <v>151</v>
      </c>
      <c r="B284" t="s">
        <v>66</v>
      </c>
      <c r="C284" t="s">
        <v>27</v>
      </c>
      <c r="D284" t="s">
        <v>51</v>
      </c>
      <c r="E284">
        <v>2019</v>
      </c>
      <c r="F284">
        <v>0</v>
      </c>
    </row>
    <row r="285" spans="1:6" x14ac:dyDescent="0.25">
      <c r="A285" t="s">
        <v>151</v>
      </c>
      <c r="B285" t="s">
        <v>66</v>
      </c>
      <c r="C285" t="s">
        <v>27</v>
      </c>
      <c r="D285" t="s">
        <v>63</v>
      </c>
      <c r="E285">
        <v>2019</v>
      </c>
      <c r="F285">
        <v>74470.453999829275</v>
      </c>
    </row>
    <row r="286" spans="1:6" x14ac:dyDescent="0.25">
      <c r="A286" t="s">
        <v>151</v>
      </c>
      <c r="B286" t="s">
        <v>66</v>
      </c>
      <c r="C286" t="s">
        <v>27</v>
      </c>
      <c r="D286" t="s">
        <v>64</v>
      </c>
      <c r="E286">
        <v>2019</v>
      </c>
      <c r="F286">
        <v>0</v>
      </c>
    </row>
    <row r="287" spans="1:6" x14ac:dyDescent="0.25">
      <c r="A287" t="s">
        <v>151</v>
      </c>
      <c r="B287" t="s">
        <v>66</v>
      </c>
      <c r="C287" t="s">
        <v>27</v>
      </c>
      <c r="D287" t="s">
        <v>84</v>
      </c>
      <c r="E287">
        <v>2019</v>
      </c>
      <c r="F287">
        <v>640280.13059892249</v>
      </c>
    </row>
    <row r="288" spans="1:6" x14ac:dyDescent="0.25">
      <c r="A288" t="s">
        <v>151</v>
      </c>
      <c r="B288" t="s">
        <v>66</v>
      </c>
      <c r="C288" t="s">
        <v>27</v>
      </c>
      <c r="D288" t="s">
        <v>55</v>
      </c>
      <c r="E288">
        <v>2019</v>
      </c>
      <c r="F288">
        <v>0</v>
      </c>
    </row>
    <row r="289" spans="1:6" x14ac:dyDescent="0.25">
      <c r="A289" t="s">
        <v>151</v>
      </c>
      <c r="B289" t="s">
        <v>66</v>
      </c>
      <c r="C289" t="s">
        <v>27</v>
      </c>
      <c r="D289" t="s">
        <v>47</v>
      </c>
      <c r="E289">
        <v>2019</v>
      </c>
      <c r="F289">
        <v>0</v>
      </c>
    </row>
    <row r="290" spans="1:6" x14ac:dyDescent="0.25">
      <c r="A290" t="s">
        <v>151</v>
      </c>
      <c r="B290" t="s">
        <v>13</v>
      </c>
      <c r="C290" t="s">
        <v>42</v>
      </c>
      <c r="D290" t="s">
        <v>51</v>
      </c>
      <c r="E290">
        <v>2019</v>
      </c>
      <c r="F290">
        <v>734174.89910281403</v>
      </c>
    </row>
    <row r="291" spans="1:6" x14ac:dyDescent="0.25">
      <c r="A291" t="s">
        <v>151</v>
      </c>
      <c r="B291" t="s">
        <v>13</v>
      </c>
      <c r="C291" t="s">
        <v>42</v>
      </c>
      <c r="D291" t="s">
        <v>63</v>
      </c>
      <c r="E291">
        <v>2019</v>
      </c>
      <c r="F291">
        <v>32210.735628649098</v>
      </c>
    </row>
    <row r="292" spans="1:6" x14ac:dyDescent="0.25">
      <c r="A292" t="s">
        <v>151</v>
      </c>
      <c r="B292" t="s">
        <v>13</v>
      </c>
      <c r="C292" t="s">
        <v>42</v>
      </c>
      <c r="D292" t="s">
        <v>64</v>
      </c>
      <c r="E292">
        <v>2019</v>
      </c>
      <c r="F292">
        <v>37577.319945022478</v>
      </c>
    </row>
    <row r="293" spans="1:6" x14ac:dyDescent="0.25">
      <c r="A293" t="s">
        <v>151</v>
      </c>
      <c r="B293" t="s">
        <v>13</v>
      </c>
      <c r="C293" t="s">
        <v>42</v>
      </c>
      <c r="D293" t="s">
        <v>65</v>
      </c>
      <c r="E293">
        <v>2019</v>
      </c>
      <c r="F293">
        <v>681602.85349434032</v>
      </c>
    </row>
    <row r="294" spans="1:6" x14ac:dyDescent="0.25">
      <c r="A294" t="s">
        <v>151</v>
      </c>
      <c r="B294" t="s">
        <v>13</v>
      </c>
      <c r="C294" t="s">
        <v>42</v>
      </c>
      <c r="D294" t="s">
        <v>55</v>
      </c>
      <c r="E294">
        <v>2019</v>
      </c>
      <c r="F294">
        <v>452310.61214957217</v>
      </c>
    </row>
    <row r="295" spans="1:6" x14ac:dyDescent="0.25">
      <c r="A295" t="s">
        <v>151</v>
      </c>
      <c r="B295" t="s">
        <v>13</v>
      </c>
      <c r="C295" t="s">
        <v>42</v>
      </c>
      <c r="D295" t="s">
        <v>47</v>
      </c>
      <c r="E295">
        <v>2019</v>
      </c>
      <c r="F295">
        <v>0</v>
      </c>
    </row>
    <row r="296" spans="1:6" x14ac:dyDescent="0.25">
      <c r="A296" t="s">
        <v>151</v>
      </c>
      <c r="B296" t="s">
        <v>66</v>
      </c>
      <c r="C296" t="s">
        <v>42</v>
      </c>
      <c r="D296" t="s">
        <v>51</v>
      </c>
      <c r="E296">
        <v>2019</v>
      </c>
      <c r="F296">
        <v>0</v>
      </c>
    </row>
    <row r="297" spans="1:6" x14ac:dyDescent="0.25">
      <c r="A297" t="s">
        <v>151</v>
      </c>
      <c r="B297" t="s">
        <v>66</v>
      </c>
      <c r="C297" t="s">
        <v>42</v>
      </c>
      <c r="D297" t="s">
        <v>63</v>
      </c>
      <c r="E297">
        <v>2019</v>
      </c>
      <c r="F297">
        <v>29732.986734137623</v>
      </c>
    </row>
    <row r="298" spans="1:6" x14ac:dyDescent="0.25">
      <c r="A298" t="s">
        <v>151</v>
      </c>
      <c r="B298" t="s">
        <v>66</v>
      </c>
      <c r="C298" t="s">
        <v>42</v>
      </c>
      <c r="D298" t="s">
        <v>64</v>
      </c>
      <c r="E298">
        <v>2019</v>
      </c>
      <c r="F298">
        <v>0</v>
      </c>
    </row>
    <row r="299" spans="1:6" x14ac:dyDescent="0.25">
      <c r="A299" t="s">
        <v>151</v>
      </c>
      <c r="B299" t="s">
        <v>66</v>
      </c>
      <c r="C299" t="s">
        <v>42</v>
      </c>
      <c r="D299" t="s">
        <v>84</v>
      </c>
      <c r="E299">
        <v>2019</v>
      </c>
      <c r="F299">
        <v>187413.07432328182</v>
      </c>
    </row>
    <row r="300" spans="1:6" x14ac:dyDescent="0.25">
      <c r="A300" t="s">
        <v>151</v>
      </c>
      <c r="B300" t="s">
        <v>66</v>
      </c>
      <c r="C300" t="s">
        <v>42</v>
      </c>
      <c r="D300" t="s">
        <v>55</v>
      </c>
      <c r="E300">
        <v>2019</v>
      </c>
      <c r="F300">
        <v>0</v>
      </c>
    </row>
    <row r="301" spans="1:6" x14ac:dyDescent="0.25">
      <c r="A301" t="s">
        <v>151</v>
      </c>
      <c r="B301" t="s">
        <v>66</v>
      </c>
      <c r="C301" t="s">
        <v>42</v>
      </c>
      <c r="D301" t="s">
        <v>47</v>
      </c>
      <c r="E301">
        <v>2019</v>
      </c>
      <c r="F301">
        <v>0</v>
      </c>
    </row>
    <row r="302" spans="1:6" x14ac:dyDescent="0.25">
      <c r="A302" t="s">
        <v>151</v>
      </c>
      <c r="B302" t="s">
        <v>13</v>
      </c>
      <c r="C302" t="s">
        <v>27</v>
      </c>
      <c r="D302" t="s">
        <v>51</v>
      </c>
      <c r="E302">
        <v>2030</v>
      </c>
      <c r="F302">
        <v>141912.4984348095</v>
      </c>
    </row>
    <row r="303" spans="1:6" x14ac:dyDescent="0.25">
      <c r="A303" t="s">
        <v>151</v>
      </c>
      <c r="B303" t="s">
        <v>13</v>
      </c>
      <c r="C303" t="s">
        <v>27</v>
      </c>
      <c r="D303" t="s">
        <v>63</v>
      </c>
      <c r="E303">
        <v>2030</v>
      </c>
      <c r="F303">
        <v>160676.47018779608</v>
      </c>
    </row>
    <row r="304" spans="1:6" x14ac:dyDescent="0.25">
      <c r="A304" t="s">
        <v>151</v>
      </c>
      <c r="B304" t="s">
        <v>13</v>
      </c>
      <c r="C304" t="s">
        <v>27</v>
      </c>
      <c r="D304" t="s">
        <v>64</v>
      </c>
      <c r="E304">
        <v>2030</v>
      </c>
      <c r="F304">
        <v>140377.4029294425</v>
      </c>
    </row>
    <row r="305" spans="1:6" x14ac:dyDescent="0.25">
      <c r="A305" t="s">
        <v>151</v>
      </c>
      <c r="B305" t="s">
        <v>13</v>
      </c>
      <c r="C305" t="s">
        <v>27</v>
      </c>
      <c r="D305" t="s">
        <v>65</v>
      </c>
      <c r="E305">
        <v>2030</v>
      </c>
      <c r="F305">
        <v>2234973.865453063</v>
      </c>
    </row>
    <row r="306" spans="1:6" x14ac:dyDescent="0.25">
      <c r="A306" t="s">
        <v>151</v>
      </c>
      <c r="B306" t="s">
        <v>13</v>
      </c>
      <c r="C306" t="s">
        <v>27</v>
      </c>
      <c r="D306" t="s">
        <v>55</v>
      </c>
      <c r="E306">
        <v>2030</v>
      </c>
      <c r="F306">
        <v>124773.42126939242</v>
      </c>
    </row>
    <row r="307" spans="1:6" x14ac:dyDescent="0.25">
      <c r="A307" t="s">
        <v>151</v>
      </c>
      <c r="B307" t="s">
        <v>13</v>
      </c>
      <c r="C307" t="s">
        <v>27</v>
      </c>
      <c r="D307" t="s">
        <v>47</v>
      </c>
      <c r="E307">
        <v>2030</v>
      </c>
      <c r="F307">
        <v>195082.22598438186</v>
      </c>
    </row>
    <row r="308" spans="1:6" x14ac:dyDescent="0.25">
      <c r="A308" t="s">
        <v>151</v>
      </c>
      <c r="B308" t="s">
        <v>66</v>
      </c>
      <c r="C308" t="s">
        <v>27</v>
      </c>
      <c r="D308" t="s">
        <v>51</v>
      </c>
      <c r="E308">
        <v>2030</v>
      </c>
      <c r="F308">
        <v>0</v>
      </c>
    </row>
    <row r="309" spans="1:6" x14ac:dyDescent="0.25">
      <c r="A309" t="s">
        <v>151</v>
      </c>
      <c r="B309" t="s">
        <v>66</v>
      </c>
      <c r="C309" t="s">
        <v>27</v>
      </c>
      <c r="D309" t="s">
        <v>63</v>
      </c>
      <c r="E309">
        <v>2030</v>
      </c>
      <c r="F309">
        <v>0</v>
      </c>
    </row>
    <row r="310" spans="1:6" x14ac:dyDescent="0.25">
      <c r="A310" t="s">
        <v>151</v>
      </c>
      <c r="B310" t="s">
        <v>66</v>
      </c>
      <c r="C310" t="s">
        <v>27</v>
      </c>
      <c r="D310" t="s">
        <v>64</v>
      </c>
      <c r="E310">
        <v>2030</v>
      </c>
      <c r="F310">
        <v>0</v>
      </c>
    </row>
    <row r="311" spans="1:6" x14ac:dyDescent="0.25">
      <c r="A311" t="s">
        <v>151</v>
      </c>
      <c r="B311" t="s">
        <v>66</v>
      </c>
      <c r="C311" t="s">
        <v>27</v>
      </c>
      <c r="D311" t="s">
        <v>84</v>
      </c>
      <c r="E311">
        <v>2030</v>
      </c>
      <c r="F311">
        <v>616440.47585147235</v>
      </c>
    </row>
    <row r="312" spans="1:6" x14ac:dyDescent="0.25">
      <c r="A312" t="s">
        <v>151</v>
      </c>
      <c r="B312" t="s">
        <v>66</v>
      </c>
      <c r="C312" t="s">
        <v>27</v>
      </c>
      <c r="D312" t="s">
        <v>55</v>
      </c>
      <c r="E312">
        <v>2030</v>
      </c>
      <c r="F312">
        <v>0</v>
      </c>
    </row>
    <row r="313" spans="1:6" x14ac:dyDescent="0.25">
      <c r="A313" t="s">
        <v>151</v>
      </c>
      <c r="B313" t="s">
        <v>66</v>
      </c>
      <c r="C313" t="s">
        <v>27</v>
      </c>
      <c r="D313" t="s">
        <v>47</v>
      </c>
      <c r="E313">
        <v>2030</v>
      </c>
      <c r="F313">
        <v>0</v>
      </c>
    </row>
    <row r="314" spans="1:6" x14ac:dyDescent="0.25">
      <c r="A314" t="s">
        <v>151</v>
      </c>
      <c r="B314" t="s">
        <v>13</v>
      </c>
      <c r="C314" t="s">
        <v>42</v>
      </c>
      <c r="D314" t="s">
        <v>51</v>
      </c>
      <c r="E314">
        <v>2030</v>
      </c>
      <c r="F314">
        <v>213920.20342180214</v>
      </c>
    </row>
    <row r="315" spans="1:6" x14ac:dyDescent="0.25">
      <c r="A315" t="s">
        <v>151</v>
      </c>
      <c r="B315" t="s">
        <v>13</v>
      </c>
      <c r="C315" t="s">
        <v>42</v>
      </c>
      <c r="D315" t="s">
        <v>63</v>
      </c>
      <c r="E315">
        <v>2030</v>
      </c>
      <c r="F315">
        <v>50151.10070496858</v>
      </c>
    </row>
    <row r="316" spans="1:6" x14ac:dyDescent="0.25">
      <c r="A316" t="s">
        <v>151</v>
      </c>
      <c r="B316" t="s">
        <v>13</v>
      </c>
      <c r="C316" t="s">
        <v>42</v>
      </c>
      <c r="D316" t="s">
        <v>64</v>
      </c>
      <c r="E316">
        <v>2030</v>
      </c>
      <c r="F316">
        <v>40402.059763463323</v>
      </c>
    </row>
    <row r="317" spans="1:6" x14ac:dyDescent="0.25">
      <c r="A317" t="s">
        <v>151</v>
      </c>
      <c r="B317" t="s">
        <v>13</v>
      </c>
      <c r="C317" t="s">
        <v>42</v>
      </c>
      <c r="D317" t="s">
        <v>65</v>
      </c>
      <c r="E317">
        <v>2030</v>
      </c>
      <c r="F317">
        <v>649227.97058290825</v>
      </c>
    </row>
    <row r="318" spans="1:6" x14ac:dyDescent="0.25">
      <c r="A318" t="s">
        <v>151</v>
      </c>
      <c r="B318" t="s">
        <v>13</v>
      </c>
      <c r="C318" t="s">
        <v>42</v>
      </c>
      <c r="D318" t="s">
        <v>55</v>
      </c>
      <c r="E318">
        <v>2030</v>
      </c>
      <c r="F318">
        <v>108035.57873060764</v>
      </c>
    </row>
    <row r="319" spans="1:6" x14ac:dyDescent="0.25">
      <c r="A319" t="s">
        <v>151</v>
      </c>
      <c r="B319" t="s">
        <v>13</v>
      </c>
      <c r="C319" t="s">
        <v>42</v>
      </c>
      <c r="D319" t="s">
        <v>47</v>
      </c>
      <c r="E319">
        <v>2030</v>
      </c>
      <c r="F319">
        <v>168912.745758362</v>
      </c>
    </row>
    <row r="320" spans="1:6" x14ac:dyDescent="0.25">
      <c r="A320" t="s">
        <v>151</v>
      </c>
      <c r="B320" t="s">
        <v>66</v>
      </c>
      <c r="C320" t="s">
        <v>42</v>
      </c>
      <c r="D320" t="s">
        <v>51</v>
      </c>
      <c r="E320">
        <v>2030</v>
      </c>
      <c r="F320">
        <v>0</v>
      </c>
    </row>
    <row r="321" spans="1:6" x14ac:dyDescent="0.25">
      <c r="A321" t="s">
        <v>151</v>
      </c>
      <c r="B321" t="s">
        <v>66</v>
      </c>
      <c r="C321" t="s">
        <v>42</v>
      </c>
      <c r="D321" t="s">
        <v>63</v>
      </c>
      <c r="E321">
        <v>2030</v>
      </c>
      <c r="F321">
        <v>0</v>
      </c>
    </row>
    <row r="322" spans="1:6" x14ac:dyDescent="0.25">
      <c r="A322" t="s">
        <v>151</v>
      </c>
      <c r="B322" t="s">
        <v>66</v>
      </c>
      <c r="C322" t="s">
        <v>42</v>
      </c>
      <c r="D322" t="s">
        <v>64</v>
      </c>
      <c r="E322">
        <v>2030</v>
      </c>
      <c r="F322">
        <v>0</v>
      </c>
    </row>
    <row r="323" spans="1:6" x14ac:dyDescent="0.25">
      <c r="A323" t="s">
        <v>151</v>
      </c>
      <c r="B323" t="s">
        <v>66</v>
      </c>
      <c r="C323" t="s">
        <v>42</v>
      </c>
      <c r="D323" t="s">
        <v>84</v>
      </c>
      <c r="E323">
        <v>2030</v>
      </c>
      <c r="F323">
        <v>178767.78971229953</v>
      </c>
    </row>
    <row r="324" spans="1:6" x14ac:dyDescent="0.25">
      <c r="A324" t="s">
        <v>151</v>
      </c>
      <c r="B324" t="s">
        <v>66</v>
      </c>
      <c r="C324" t="s">
        <v>42</v>
      </c>
      <c r="D324" t="s">
        <v>55</v>
      </c>
      <c r="E324">
        <v>2030</v>
      </c>
      <c r="F324">
        <v>0</v>
      </c>
    </row>
    <row r="325" spans="1:6" x14ac:dyDescent="0.25">
      <c r="A325" t="s">
        <v>151</v>
      </c>
      <c r="B325" t="s">
        <v>66</v>
      </c>
      <c r="C325" t="s">
        <v>42</v>
      </c>
      <c r="D325" t="s">
        <v>47</v>
      </c>
      <c r="E325">
        <v>2030</v>
      </c>
      <c r="F325">
        <v>0</v>
      </c>
    </row>
    <row r="326" spans="1:6" x14ac:dyDescent="0.25">
      <c r="A326" t="s">
        <v>151</v>
      </c>
      <c r="B326" t="s">
        <v>13</v>
      </c>
      <c r="C326" t="s">
        <v>27</v>
      </c>
      <c r="D326" t="s">
        <v>51</v>
      </c>
      <c r="E326">
        <v>2050</v>
      </c>
      <c r="F326">
        <v>84658.018505492248</v>
      </c>
    </row>
    <row r="327" spans="1:6" x14ac:dyDescent="0.25">
      <c r="A327" t="s">
        <v>151</v>
      </c>
      <c r="B327" t="s">
        <v>13</v>
      </c>
      <c r="C327" t="s">
        <v>27</v>
      </c>
      <c r="D327" t="s">
        <v>63</v>
      </c>
      <c r="E327">
        <v>2050</v>
      </c>
      <c r="F327">
        <v>141331.4526938191</v>
      </c>
    </row>
    <row r="328" spans="1:6" x14ac:dyDescent="0.25">
      <c r="A328" t="s">
        <v>151</v>
      </c>
      <c r="B328" t="s">
        <v>13</v>
      </c>
      <c r="C328" t="s">
        <v>27</v>
      </c>
      <c r="D328" t="s">
        <v>64</v>
      </c>
      <c r="E328">
        <v>2050</v>
      </c>
      <c r="F328">
        <v>109749.06738553218</v>
      </c>
    </row>
    <row r="329" spans="1:6" x14ac:dyDescent="0.25">
      <c r="A329" t="s">
        <v>151</v>
      </c>
      <c r="B329" t="s">
        <v>13</v>
      </c>
      <c r="C329" t="s">
        <v>27</v>
      </c>
      <c r="D329" t="s">
        <v>65</v>
      </c>
      <c r="E329">
        <v>2050</v>
      </c>
      <c r="F329">
        <v>2564024.4422885654</v>
      </c>
    </row>
    <row r="330" spans="1:6" x14ac:dyDescent="0.25">
      <c r="A330" t="s">
        <v>151</v>
      </c>
      <c r="B330" t="s">
        <v>13</v>
      </c>
      <c r="C330" t="s">
        <v>27</v>
      </c>
      <c r="D330" t="s">
        <v>55</v>
      </c>
      <c r="E330">
        <v>2050</v>
      </c>
      <c r="F330">
        <v>1500.1831158298883</v>
      </c>
    </row>
    <row r="331" spans="1:6" x14ac:dyDescent="0.25">
      <c r="A331" t="s">
        <v>151</v>
      </c>
      <c r="B331" t="s">
        <v>13</v>
      </c>
      <c r="C331" t="s">
        <v>27</v>
      </c>
      <c r="D331" t="s">
        <v>47</v>
      </c>
      <c r="E331">
        <v>2050</v>
      </c>
      <c r="F331">
        <v>197484.13479984918</v>
      </c>
    </row>
    <row r="332" spans="1:6" x14ac:dyDescent="0.25">
      <c r="A332" t="s">
        <v>151</v>
      </c>
      <c r="B332" t="s">
        <v>66</v>
      </c>
      <c r="C332" t="s">
        <v>27</v>
      </c>
      <c r="D332" t="s">
        <v>51</v>
      </c>
      <c r="E332">
        <v>2050</v>
      </c>
      <c r="F332">
        <v>0</v>
      </c>
    </row>
    <row r="333" spans="1:6" x14ac:dyDescent="0.25">
      <c r="A333" t="s">
        <v>151</v>
      </c>
      <c r="B333" t="s">
        <v>66</v>
      </c>
      <c r="C333" t="s">
        <v>27</v>
      </c>
      <c r="D333" t="s">
        <v>63</v>
      </c>
      <c r="E333">
        <v>2050</v>
      </c>
      <c r="F333">
        <v>0</v>
      </c>
    </row>
    <row r="334" spans="1:6" x14ac:dyDescent="0.25">
      <c r="A334" t="s">
        <v>151</v>
      </c>
      <c r="B334" t="s">
        <v>66</v>
      </c>
      <c r="C334" t="s">
        <v>27</v>
      </c>
      <c r="D334" t="s">
        <v>64</v>
      </c>
      <c r="E334">
        <v>2050</v>
      </c>
      <c r="F334">
        <v>0</v>
      </c>
    </row>
    <row r="335" spans="1:6" x14ac:dyDescent="0.25">
      <c r="A335" t="s">
        <v>151</v>
      </c>
      <c r="B335" t="s">
        <v>66</v>
      </c>
      <c r="C335" t="s">
        <v>27</v>
      </c>
      <c r="D335" t="s">
        <v>84</v>
      </c>
      <c r="E335">
        <v>2050</v>
      </c>
      <c r="F335">
        <v>772391.0266772469</v>
      </c>
    </row>
    <row r="336" spans="1:6" x14ac:dyDescent="0.25">
      <c r="A336" t="s">
        <v>151</v>
      </c>
      <c r="B336" t="s">
        <v>66</v>
      </c>
      <c r="C336" t="s">
        <v>27</v>
      </c>
      <c r="D336" t="s">
        <v>55</v>
      </c>
      <c r="E336">
        <v>2050</v>
      </c>
      <c r="F336">
        <v>0</v>
      </c>
    </row>
    <row r="337" spans="1:6" x14ac:dyDescent="0.25">
      <c r="A337" t="s">
        <v>151</v>
      </c>
      <c r="B337" t="s">
        <v>66</v>
      </c>
      <c r="C337" t="s">
        <v>27</v>
      </c>
      <c r="D337" t="s">
        <v>47</v>
      </c>
      <c r="E337">
        <v>2050</v>
      </c>
      <c r="F337">
        <v>0</v>
      </c>
    </row>
    <row r="338" spans="1:6" x14ac:dyDescent="0.25">
      <c r="A338" t="s">
        <v>151</v>
      </c>
      <c r="B338" t="s">
        <v>13</v>
      </c>
      <c r="C338" t="s">
        <v>42</v>
      </c>
      <c r="D338" t="s">
        <v>51</v>
      </c>
      <c r="E338">
        <v>2050</v>
      </c>
      <c r="F338">
        <v>233733.85437382606</v>
      </c>
    </row>
    <row r="339" spans="1:6" x14ac:dyDescent="0.25">
      <c r="A339" t="s">
        <v>151</v>
      </c>
      <c r="B339" t="s">
        <v>13</v>
      </c>
      <c r="C339" t="s">
        <v>42</v>
      </c>
      <c r="D339" t="s">
        <v>63</v>
      </c>
      <c r="E339">
        <v>2050</v>
      </c>
      <c r="F339">
        <v>49638.039468763382</v>
      </c>
    </row>
    <row r="340" spans="1:6" x14ac:dyDescent="0.25">
      <c r="A340" t="s">
        <v>151</v>
      </c>
      <c r="B340" t="s">
        <v>13</v>
      </c>
      <c r="C340" t="s">
        <v>42</v>
      </c>
      <c r="D340" t="s">
        <v>64</v>
      </c>
      <c r="E340">
        <v>2050</v>
      </c>
      <c r="F340">
        <v>38545.761999241557</v>
      </c>
    </row>
    <row r="341" spans="1:6" x14ac:dyDescent="0.25">
      <c r="A341" t="s">
        <v>151</v>
      </c>
      <c r="B341" t="s">
        <v>13</v>
      </c>
      <c r="C341" t="s">
        <v>42</v>
      </c>
      <c r="D341" t="s">
        <v>65</v>
      </c>
      <c r="E341">
        <v>2050</v>
      </c>
      <c r="F341">
        <v>671679.24992986186</v>
      </c>
    </row>
    <row r="342" spans="1:6" x14ac:dyDescent="0.25">
      <c r="A342" t="s">
        <v>151</v>
      </c>
      <c r="B342" t="s">
        <v>13</v>
      </c>
      <c r="C342" t="s">
        <v>42</v>
      </c>
      <c r="D342" t="s">
        <v>55</v>
      </c>
      <c r="E342">
        <v>2050</v>
      </c>
      <c r="F342">
        <v>1308.8168841700535</v>
      </c>
    </row>
    <row r="343" spans="1:6" x14ac:dyDescent="0.25">
      <c r="A343" t="s">
        <v>151</v>
      </c>
      <c r="B343" t="s">
        <v>13</v>
      </c>
      <c r="C343" t="s">
        <v>42</v>
      </c>
      <c r="D343" t="s">
        <v>47</v>
      </c>
      <c r="E343">
        <v>2050</v>
      </c>
      <c r="F343">
        <v>172292.68030975034</v>
      </c>
    </row>
    <row r="344" spans="1:6" x14ac:dyDescent="0.25">
      <c r="A344" t="s">
        <v>151</v>
      </c>
      <c r="B344" t="s">
        <v>66</v>
      </c>
      <c r="C344" t="s">
        <v>42</v>
      </c>
      <c r="D344" t="s">
        <v>51</v>
      </c>
      <c r="E344">
        <v>2050</v>
      </c>
      <c r="F344">
        <v>0</v>
      </c>
    </row>
    <row r="345" spans="1:6" x14ac:dyDescent="0.25">
      <c r="A345" t="s">
        <v>151</v>
      </c>
      <c r="B345" t="s">
        <v>66</v>
      </c>
      <c r="C345" t="s">
        <v>42</v>
      </c>
      <c r="D345" t="s">
        <v>63</v>
      </c>
      <c r="E345">
        <v>2050</v>
      </c>
      <c r="F345">
        <v>0</v>
      </c>
    </row>
    <row r="346" spans="1:6" x14ac:dyDescent="0.25">
      <c r="A346" t="s">
        <v>151</v>
      </c>
      <c r="B346" t="s">
        <v>66</v>
      </c>
      <c r="C346" t="s">
        <v>42</v>
      </c>
      <c r="D346" t="s">
        <v>64</v>
      </c>
      <c r="E346">
        <v>2050</v>
      </c>
      <c r="F346">
        <v>0</v>
      </c>
    </row>
    <row r="347" spans="1:6" x14ac:dyDescent="0.25">
      <c r="A347" t="s">
        <v>151</v>
      </c>
      <c r="B347" t="s">
        <v>66</v>
      </c>
      <c r="C347" t="s">
        <v>42</v>
      </c>
      <c r="D347" t="s">
        <v>84</v>
      </c>
      <c r="E347">
        <v>2050</v>
      </c>
      <c r="F347">
        <v>194965.02502381144</v>
      </c>
    </row>
    <row r="348" spans="1:6" x14ac:dyDescent="0.25">
      <c r="A348" t="s">
        <v>151</v>
      </c>
      <c r="B348" t="s">
        <v>66</v>
      </c>
      <c r="C348" t="s">
        <v>42</v>
      </c>
      <c r="D348" t="s">
        <v>55</v>
      </c>
      <c r="E348">
        <v>2050</v>
      </c>
      <c r="F348">
        <v>0</v>
      </c>
    </row>
    <row r="349" spans="1:6" x14ac:dyDescent="0.25">
      <c r="A349" t="s">
        <v>151</v>
      </c>
      <c r="B349" t="s">
        <v>66</v>
      </c>
      <c r="C349" t="s">
        <v>42</v>
      </c>
      <c r="D349" t="s">
        <v>47</v>
      </c>
      <c r="E349">
        <v>2050</v>
      </c>
      <c r="F349">
        <v>0</v>
      </c>
    </row>
    <row r="350" spans="1:6" x14ac:dyDescent="0.25">
      <c r="A350" t="s">
        <v>151</v>
      </c>
      <c r="B350" t="s">
        <v>12</v>
      </c>
      <c r="C350" t="s">
        <v>27</v>
      </c>
      <c r="D350" t="s">
        <v>43</v>
      </c>
      <c r="E350">
        <v>2019</v>
      </c>
      <c r="F350">
        <v>12818096.433914844</v>
      </c>
    </row>
    <row r="351" spans="1:6" x14ac:dyDescent="0.25">
      <c r="A351" t="s">
        <v>151</v>
      </c>
      <c r="B351" t="s">
        <v>12</v>
      </c>
      <c r="C351" t="s">
        <v>27</v>
      </c>
      <c r="D351" t="s">
        <v>44</v>
      </c>
      <c r="E351">
        <v>2019</v>
      </c>
      <c r="F351">
        <v>9058051.1739541572</v>
      </c>
    </row>
    <row r="352" spans="1:6" x14ac:dyDescent="0.25">
      <c r="A352" t="s">
        <v>151</v>
      </c>
      <c r="B352" t="s">
        <v>12</v>
      </c>
      <c r="C352" t="s">
        <v>27</v>
      </c>
      <c r="D352" t="s">
        <v>45</v>
      </c>
      <c r="E352">
        <v>2019</v>
      </c>
      <c r="F352">
        <v>4103.8061780475591</v>
      </c>
    </row>
    <row r="353" spans="1:6" x14ac:dyDescent="0.25">
      <c r="A353" t="s">
        <v>151</v>
      </c>
      <c r="B353" t="s">
        <v>12</v>
      </c>
      <c r="C353" t="s">
        <v>27</v>
      </c>
      <c r="D353" t="s">
        <v>49</v>
      </c>
      <c r="E353">
        <v>2019</v>
      </c>
      <c r="F353">
        <v>730307.97492940596</v>
      </c>
    </row>
    <row r="354" spans="1:6" x14ac:dyDescent="0.25">
      <c r="A354" t="s">
        <v>151</v>
      </c>
      <c r="B354" t="s">
        <v>12</v>
      </c>
      <c r="C354" t="s">
        <v>27</v>
      </c>
      <c r="D354" t="s">
        <v>67</v>
      </c>
      <c r="E354">
        <v>2019</v>
      </c>
      <c r="F354">
        <v>7001759.6428652545</v>
      </c>
    </row>
    <row r="355" spans="1:6" x14ac:dyDescent="0.25">
      <c r="A355" t="s">
        <v>151</v>
      </c>
      <c r="B355" t="s">
        <v>12</v>
      </c>
      <c r="C355" t="s">
        <v>27</v>
      </c>
      <c r="D355" t="s">
        <v>68</v>
      </c>
      <c r="E355">
        <v>2019</v>
      </c>
      <c r="F355">
        <v>567745.18896312197</v>
      </c>
    </row>
    <row r="356" spans="1:6" x14ac:dyDescent="0.25">
      <c r="A356" t="s">
        <v>151</v>
      </c>
      <c r="B356" t="s">
        <v>12</v>
      </c>
      <c r="C356" t="s">
        <v>27</v>
      </c>
      <c r="D356" t="s">
        <v>43</v>
      </c>
      <c r="E356">
        <v>2030</v>
      </c>
      <c r="F356">
        <v>3768708.2939702673</v>
      </c>
    </row>
    <row r="357" spans="1:6" x14ac:dyDescent="0.25">
      <c r="A357" t="s">
        <v>151</v>
      </c>
      <c r="B357" t="s">
        <v>12</v>
      </c>
      <c r="C357" t="s">
        <v>27</v>
      </c>
      <c r="D357" t="s">
        <v>44</v>
      </c>
      <c r="E357">
        <v>2030</v>
      </c>
      <c r="F357">
        <v>3245874.1778339455</v>
      </c>
    </row>
    <row r="358" spans="1:6" x14ac:dyDescent="0.25">
      <c r="A358" t="s">
        <v>151</v>
      </c>
      <c r="B358" t="s">
        <v>12</v>
      </c>
      <c r="C358" t="s">
        <v>27</v>
      </c>
      <c r="D358" t="s">
        <v>45</v>
      </c>
      <c r="E358">
        <v>2030</v>
      </c>
      <c r="F358">
        <v>2085.6815338863707</v>
      </c>
    </row>
    <row r="359" spans="1:6" x14ac:dyDescent="0.25">
      <c r="A359" t="s">
        <v>151</v>
      </c>
      <c r="B359" t="s">
        <v>12</v>
      </c>
      <c r="C359" t="s">
        <v>27</v>
      </c>
      <c r="D359" t="s">
        <v>49</v>
      </c>
      <c r="E359">
        <v>2030</v>
      </c>
      <c r="F359">
        <v>251080.47924699794</v>
      </c>
    </row>
    <row r="360" spans="1:6" x14ac:dyDescent="0.25">
      <c r="A360" t="s">
        <v>151</v>
      </c>
      <c r="B360" t="s">
        <v>12</v>
      </c>
      <c r="C360" t="s">
        <v>27</v>
      </c>
      <c r="D360" t="s">
        <v>67</v>
      </c>
      <c r="E360">
        <v>2030</v>
      </c>
      <c r="F360">
        <v>20385129.269272327</v>
      </c>
    </row>
    <row r="361" spans="1:6" x14ac:dyDescent="0.25">
      <c r="A361" t="s">
        <v>151</v>
      </c>
      <c r="B361" t="s">
        <v>12</v>
      </c>
      <c r="C361" t="s">
        <v>27</v>
      </c>
      <c r="D361" t="s">
        <v>68</v>
      </c>
      <c r="E361">
        <v>2030</v>
      </c>
      <c r="F361">
        <v>555777.04073422437</v>
      </c>
    </row>
    <row r="362" spans="1:6" x14ac:dyDescent="0.25">
      <c r="A362" t="s">
        <v>151</v>
      </c>
      <c r="B362" t="s">
        <v>12</v>
      </c>
      <c r="C362" t="s">
        <v>27</v>
      </c>
      <c r="D362" t="s">
        <v>43</v>
      </c>
      <c r="E362">
        <v>2050</v>
      </c>
      <c r="F362">
        <v>1443229.1767579557</v>
      </c>
    </row>
    <row r="363" spans="1:6" x14ac:dyDescent="0.25">
      <c r="A363" t="s">
        <v>151</v>
      </c>
      <c r="B363" t="s">
        <v>12</v>
      </c>
      <c r="C363" t="s">
        <v>27</v>
      </c>
      <c r="D363" t="s">
        <v>44</v>
      </c>
      <c r="E363">
        <v>2050</v>
      </c>
      <c r="F363">
        <v>1273540.6502549821</v>
      </c>
    </row>
    <row r="364" spans="1:6" x14ac:dyDescent="0.25">
      <c r="A364" t="s">
        <v>151</v>
      </c>
      <c r="B364" t="s">
        <v>12</v>
      </c>
      <c r="C364" t="s">
        <v>27</v>
      </c>
      <c r="D364" t="s">
        <v>45</v>
      </c>
      <c r="E364">
        <v>2050</v>
      </c>
      <c r="F364">
        <v>861.55317224824194</v>
      </c>
    </row>
    <row r="365" spans="1:6" x14ac:dyDescent="0.25">
      <c r="A365" t="s">
        <v>151</v>
      </c>
      <c r="B365" t="s">
        <v>12</v>
      </c>
      <c r="C365" t="s">
        <v>27</v>
      </c>
      <c r="D365" t="s">
        <v>49</v>
      </c>
      <c r="E365">
        <v>2050</v>
      </c>
      <c r="F365">
        <v>105166.29969106747</v>
      </c>
    </row>
    <row r="366" spans="1:6" x14ac:dyDescent="0.25">
      <c r="A366" t="s">
        <v>151</v>
      </c>
      <c r="B366" t="s">
        <v>12</v>
      </c>
      <c r="C366" t="s">
        <v>27</v>
      </c>
      <c r="D366" t="s">
        <v>67</v>
      </c>
      <c r="E366">
        <v>2050</v>
      </c>
      <c r="F366">
        <v>24127415.151843689</v>
      </c>
    </row>
    <row r="367" spans="1:6" x14ac:dyDescent="0.25">
      <c r="A367" t="s">
        <v>151</v>
      </c>
      <c r="B367" t="s">
        <v>12</v>
      </c>
      <c r="C367" t="s">
        <v>27</v>
      </c>
      <c r="D367" t="s">
        <v>68</v>
      </c>
      <c r="E367">
        <v>2050</v>
      </c>
      <c r="F367">
        <v>382144.34148139099</v>
      </c>
    </row>
    <row r="368" spans="1:6" x14ac:dyDescent="0.25">
      <c r="A368" t="s">
        <v>151</v>
      </c>
      <c r="B368" t="s">
        <v>12</v>
      </c>
      <c r="C368" t="s">
        <v>42</v>
      </c>
      <c r="D368" t="s">
        <v>43</v>
      </c>
      <c r="E368">
        <v>2019</v>
      </c>
      <c r="F368">
        <v>1924034.2327518209</v>
      </c>
    </row>
    <row r="369" spans="1:6" x14ac:dyDescent="0.25">
      <c r="A369" t="s">
        <v>151</v>
      </c>
      <c r="B369" t="s">
        <v>12</v>
      </c>
      <c r="C369" t="s">
        <v>42</v>
      </c>
      <c r="D369" t="s">
        <v>44</v>
      </c>
      <c r="E369">
        <v>2019</v>
      </c>
      <c r="F369">
        <v>638439.1593791761</v>
      </c>
    </row>
    <row r="370" spans="1:6" x14ac:dyDescent="0.25">
      <c r="A370" t="s">
        <v>151</v>
      </c>
      <c r="B370" t="s">
        <v>12</v>
      </c>
      <c r="C370" t="s">
        <v>42</v>
      </c>
      <c r="D370" t="s">
        <v>45</v>
      </c>
      <c r="E370">
        <v>2019</v>
      </c>
      <c r="F370">
        <v>337.693821952441</v>
      </c>
    </row>
    <row r="371" spans="1:6" x14ac:dyDescent="0.25">
      <c r="A371" t="s">
        <v>151</v>
      </c>
      <c r="B371" t="s">
        <v>12</v>
      </c>
      <c r="C371" t="s">
        <v>42</v>
      </c>
      <c r="D371" t="s">
        <v>49</v>
      </c>
      <c r="E371">
        <v>2019</v>
      </c>
      <c r="F371">
        <v>93457.017927737121</v>
      </c>
    </row>
    <row r="372" spans="1:6" x14ac:dyDescent="0.25">
      <c r="A372" t="s">
        <v>151</v>
      </c>
      <c r="B372" t="s">
        <v>12</v>
      </c>
      <c r="C372" t="s">
        <v>42</v>
      </c>
      <c r="D372" t="s">
        <v>67</v>
      </c>
      <c r="E372">
        <v>2019</v>
      </c>
      <c r="F372">
        <v>1801732.0926432305</v>
      </c>
    </row>
    <row r="373" spans="1:6" x14ac:dyDescent="0.25">
      <c r="A373" t="s">
        <v>151</v>
      </c>
      <c r="B373" t="s">
        <v>12</v>
      </c>
      <c r="C373" t="s">
        <v>42</v>
      </c>
      <c r="D373" t="s">
        <v>68</v>
      </c>
      <c r="E373">
        <v>2019</v>
      </c>
      <c r="F373">
        <v>377069.89971696056</v>
      </c>
    </row>
    <row r="374" spans="1:6" x14ac:dyDescent="0.25">
      <c r="A374" t="s">
        <v>151</v>
      </c>
      <c r="B374" t="s">
        <v>12</v>
      </c>
      <c r="C374" t="s">
        <v>42</v>
      </c>
      <c r="D374" t="s">
        <v>43</v>
      </c>
      <c r="E374">
        <v>2030</v>
      </c>
      <c r="F374">
        <v>546074.95951071149</v>
      </c>
    </row>
    <row r="375" spans="1:6" x14ac:dyDescent="0.25">
      <c r="A375" t="s">
        <v>151</v>
      </c>
      <c r="B375" t="s">
        <v>12</v>
      </c>
      <c r="C375" t="s">
        <v>42</v>
      </c>
      <c r="D375" t="s">
        <v>44</v>
      </c>
      <c r="E375">
        <v>2030</v>
      </c>
      <c r="F375">
        <v>230697.29316655223</v>
      </c>
    </row>
    <row r="376" spans="1:6" x14ac:dyDescent="0.25">
      <c r="A376" t="s">
        <v>151</v>
      </c>
      <c r="B376" t="s">
        <v>12</v>
      </c>
      <c r="C376" t="s">
        <v>42</v>
      </c>
      <c r="D376" t="s">
        <v>45</v>
      </c>
      <c r="E376">
        <v>2030</v>
      </c>
      <c r="F376">
        <v>175.05048128821366</v>
      </c>
    </row>
    <row r="377" spans="1:6" x14ac:dyDescent="0.25">
      <c r="A377" t="s">
        <v>151</v>
      </c>
      <c r="B377" t="s">
        <v>12</v>
      </c>
      <c r="C377" t="s">
        <v>42</v>
      </c>
      <c r="D377" t="s">
        <v>49</v>
      </c>
      <c r="E377">
        <v>2030</v>
      </c>
      <c r="F377">
        <v>33887.358586402894</v>
      </c>
    </row>
    <row r="378" spans="1:6" x14ac:dyDescent="0.25">
      <c r="A378" t="s">
        <v>151</v>
      </c>
      <c r="B378" t="s">
        <v>12</v>
      </c>
      <c r="C378" t="s">
        <v>42</v>
      </c>
      <c r="D378" t="s">
        <v>67</v>
      </c>
      <c r="E378">
        <v>2030</v>
      </c>
      <c r="F378">
        <v>4160096.0304783662</v>
      </c>
    </row>
    <row r="379" spans="1:6" x14ac:dyDescent="0.25">
      <c r="A379" t="s">
        <v>151</v>
      </c>
      <c r="B379" t="s">
        <v>12</v>
      </c>
      <c r="C379" t="s">
        <v>42</v>
      </c>
      <c r="D379" t="s">
        <v>68</v>
      </c>
      <c r="E379">
        <v>2030</v>
      </c>
      <c r="F379">
        <v>329415.54823135486</v>
      </c>
    </row>
    <row r="380" spans="1:6" x14ac:dyDescent="0.25">
      <c r="A380" t="s">
        <v>151</v>
      </c>
      <c r="B380" t="s">
        <v>12</v>
      </c>
      <c r="C380" t="s">
        <v>42</v>
      </c>
      <c r="D380" t="s">
        <v>43</v>
      </c>
      <c r="E380">
        <v>2050</v>
      </c>
      <c r="F380">
        <v>209119.74416372692</v>
      </c>
    </row>
    <row r="381" spans="1:6" x14ac:dyDescent="0.25">
      <c r="A381" t="s">
        <v>151</v>
      </c>
      <c r="B381" t="s">
        <v>12</v>
      </c>
      <c r="C381" t="s">
        <v>42</v>
      </c>
      <c r="D381" t="s">
        <v>44</v>
      </c>
      <c r="E381">
        <v>2050</v>
      </c>
      <c r="F381">
        <v>90515.640673249072</v>
      </c>
    </row>
    <row r="382" spans="1:6" x14ac:dyDescent="0.25">
      <c r="A382" t="s">
        <v>151</v>
      </c>
      <c r="B382" t="s">
        <v>12</v>
      </c>
      <c r="C382" t="s">
        <v>42</v>
      </c>
      <c r="D382" t="s">
        <v>45</v>
      </c>
      <c r="E382">
        <v>2050</v>
      </c>
      <c r="F382">
        <v>72.309839736855295</v>
      </c>
    </row>
    <row r="383" spans="1:6" x14ac:dyDescent="0.25">
      <c r="A383" t="s">
        <v>151</v>
      </c>
      <c r="B383" t="s">
        <v>12</v>
      </c>
      <c r="C383" t="s">
        <v>42</v>
      </c>
      <c r="D383" t="s">
        <v>49</v>
      </c>
      <c r="E383">
        <v>2050</v>
      </c>
      <c r="F383">
        <v>14274.342622748565</v>
      </c>
    </row>
    <row r="384" spans="1:6" x14ac:dyDescent="0.25">
      <c r="A384" t="s">
        <v>151</v>
      </c>
      <c r="B384" t="s">
        <v>12</v>
      </c>
      <c r="C384" t="s">
        <v>42</v>
      </c>
      <c r="D384" t="s">
        <v>67</v>
      </c>
      <c r="E384">
        <v>2050</v>
      </c>
      <c r="F384">
        <v>5038088.1961279493</v>
      </c>
    </row>
    <row r="385" spans="1:6" x14ac:dyDescent="0.25">
      <c r="A385" t="s">
        <v>151</v>
      </c>
      <c r="B385" t="s">
        <v>12</v>
      </c>
      <c r="C385" t="s">
        <v>42</v>
      </c>
      <c r="D385" t="s">
        <v>68</v>
      </c>
      <c r="E385">
        <v>2050</v>
      </c>
      <c r="F385">
        <v>314230.43593569164</v>
      </c>
    </row>
    <row r="386" spans="1:6" x14ac:dyDescent="0.25">
      <c r="A386" t="s">
        <v>151</v>
      </c>
      <c r="B386" t="s">
        <v>69</v>
      </c>
      <c r="C386" t="s">
        <v>27</v>
      </c>
      <c r="D386" t="s">
        <v>52</v>
      </c>
      <c r="E386">
        <v>2019</v>
      </c>
      <c r="F386">
        <v>0</v>
      </c>
    </row>
    <row r="387" spans="1:6" x14ac:dyDescent="0.25">
      <c r="A387" t="s">
        <v>151</v>
      </c>
      <c r="B387" t="s">
        <v>69</v>
      </c>
      <c r="C387" t="s">
        <v>27</v>
      </c>
      <c r="D387" t="s">
        <v>52</v>
      </c>
      <c r="E387">
        <v>2030</v>
      </c>
      <c r="F387">
        <v>2301995.9904044634</v>
      </c>
    </row>
    <row r="388" spans="1:6" x14ac:dyDescent="0.25">
      <c r="A388" t="s">
        <v>151</v>
      </c>
      <c r="B388" t="s">
        <v>69</v>
      </c>
      <c r="C388" t="s">
        <v>27</v>
      </c>
      <c r="D388" t="s">
        <v>52</v>
      </c>
      <c r="E388">
        <v>2050</v>
      </c>
      <c r="F388">
        <v>3568093.7851269185</v>
      </c>
    </row>
    <row r="389" spans="1:6" x14ac:dyDescent="0.25">
      <c r="A389" t="s">
        <v>151</v>
      </c>
      <c r="B389" t="s">
        <v>69</v>
      </c>
      <c r="C389" t="s">
        <v>42</v>
      </c>
      <c r="D389" t="s">
        <v>52</v>
      </c>
      <c r="E389">
        <v>2019</v>
      </c>
      <c r="F389">
        <v>0</v>
      </c>
    </row>
    <row r="390" spans="1:6" x14ac:dyDescent="0.25">
      <c r="A390" t="s">
        <v>151</v>
      </c>
      <c r="B390" t="s">
        <v>69</v>
      </c>
      <c r="C390" t="s">
        <v>42</v>
      </c>
      <c r="D390" t="s">
        <v>52</v>
      </c>
      <c r="E390">
        <v>2030</v>
      </c>
      <c r="F390">
        <v>282549.62447427149</v>
      </c>
    </row>
    <row r="391" spans="1:6" x14ac:dyDescent="0.25">
      <c r="A391" t="s">
        <v>151</v>
      </c>
      <c r="B391" t="s">
        <v>69</v>
      </c>
      <c r="C391" t="s">
        <v>42</v>
      </c>
      <c r="D391" t="s">
        <v>52</v>
      </c>
      <c r="E391">
        <v>2050</v>
      </c>
      <c r="F391">
        <v>437951.9179351207</v>
      </c>
    </row>
    <row r="392" spans="1:6" x14ac:dyDescent="0.25">
      <c r="A392" t="s">
        <v>151</v>
      </c>
      <c r="B392" t="s">
        <v>70</v>
      </c>
      <c r="C392" t="s">
        <v>27</v>
      </c>
      <c r="D392" t="s">
        <v>71</v>
      </c>
      <c r="E392">
        <v>2019</v>
      </c>
      <c r="F392">
        <v>484833.6848947219</v>
      </c>
    </row>
    <row r="393" spans="1:6" x14ac:dyDescent="0.25">
      <c r="A393" t="s">
        <v>151</v>
      </c>
      <c r="B393" t="s">
        <v>70</v>
      </c>
      <c r="C393" t="s">
        <v>27</v>
      </c>
      <c r="D393" t="s">
        <v>71</v>
      </c>
      <c r="E393">
        <v>2030</v>
      </c>
      <c r="F393">
        <v>502113.96933686273</v>
      </c>
    </row>
    <row r="394" spans="1:6" x14ac:dyDescent="0.25">
      <c r="A394" t="s">
        <v>151</v>
      </c>
      <c r="B394" t="s">
        <v>70</v>
      </c>
      <c r="C394" t="s">
        <v>27</v>
      </c>
      <c r="D394" t="s">
        <v>71</v>
      </c>
      <c r="E394">
        <v>2050</v>
      </c>
      <c r="F394">
        <v>441660.78966818465</v>
      </c>
    </row>
    <row r="395" spans="1:6" x14ac:dyDescent="0.25">
      <c r="A395" t="s">
        <v>151</v>
      </c>
      <c r="B395" t="s">
        <v>70</v>
      </c>
      <c r="C395" t="s">
        <v>42</v>
      </c>
      <c r="D395" t="s">
        <v>71</v>
      </c>
      <c r="E395">
        <v>2019</v>
      </c>
      <c r="F395">
        <v>193574.13238370849</v>
      </c>
    </row>
    <row r="396" spans="1:6" x14ac:dyDescent="0.25">
      <c r="A396" t="s">
        <v>151</v>
      </c>
      <c r="B396" t="s">
        <v>70</v>
      </c>
      <c r="C396" t="s">
        <v>42</v>
      </c>
      <c r="D396" t="s">
        <v>71</v>
      </c>
      <c r="E396">
        <v>2030</v>
      </c>
      <c r="F396">
        <v>156722.18970302682</v>
      </c>
    </row>
    <row r="397" spans="1:6" x14ac:dyDescent="0.25">
      <c r="A397" t="s">
        <v>151</v>
      </c>
      <c r="B397" t="s">
        <v>70</v>
      </c>
      <c r="C397" t="s">
        <v>42</v>
      </c>
      <c r="D397" t="s">
        <v>71</v>
      </c>
      <c r="E397">
        <v>2050</v>
      </c>
      <c r="F397">
        <v>155118.87333988555</v>
      </c>
    </row>
    <row r="398" spans="1:6" x14ac:dyDescent="0.25">
      <c r="A398" t="s">
        <v>151</v>
      </c>
      <c r="B398" t="s">
        <v>136</v>
      </c>
      <c r="C398" t="s">
        <v>27</v>
      </c>
      <c r="D398" t="s">
        <v>51</v>
      </c>
      <c r="E398">
        <v>2019</v>
      </c>
      <c r="F398">
        <v>0</v>
      </c>
    </row>
    <row r="399" spans="1:6" x14ac:dyDescent="0.25">
      <c r="A399" t="s">
        <v>151</v>
      </c>
      <c r="B399" t="s">
        <v>136</v>
      </c>
      <c r="C399" t="s">
        <v>27</v>
      </c>
      <c r="D399" t="s">
        <v>51</v>
      </c>
      <c r="E399">
        <v>2030</v>
      </c>
      <c r="F399">
        <v>1768314.655965107</v>
      </c>
    </row>
    <row r="400" spans="1:6" x14ac:dyDescent="0.25">
      <c r="A400" t="s">
        <v>151</v>
      </c>
      <c r="B400" t="s">
        <v>136</v>
      </c>
      <c r="C400" t="s">
        <v>27</v>
      </c>
      <c r="D400" t="s">
        <v>51</v>
      </c>
      <c r="E400">
        <v>2050</v>
      </c>
      <c r="F400">
        <v>1845545.6524628943</v>
      </c>
    </row>
    <row r="401" spans="1:6" x14ac:dyDescent="0.25">
      <c r="A401" t="s">
        <v>151</v>
      </c>
      <c r="B401" t="s">
        <v>136</v>
      </c>
      <c r="C401" t="s">
        <v>42</v>
      </c>
      <c r="D401" t="s">
        <v>51</v>
      </c>
      <c r="E401">
        <v>2019</v>
      </c>
      <c r="F401">
        <v>0</v>
      </c>
    </row>
    <row r="402" spans="1:6" x14ac:dyDescent="0.25">
      <c r="A402" t="s">
        <v>151</v>
      </c>
      <c r="B402" t="s">
        <v>136</v>
      </c>
      <c r="C402" t="s">
        <v>42</v>
      </c>
      <c r="D402" t="s">
        <v>51</v>
      </c>
      <c r="E402">
        <v>2030</v>
      </c>
      <c r="F402">
        <v>631685.34403489227</v>
      </c>
    </row>
    <row r="403" spans="1:6" x14ac:dyDescent="0.25">
      <c r="A403" t="s">
        <v>151</v>
      </c>
      <c r="B403" t="s">
        <v>136</v>
      </c>
      <c r="C403" t="s">
        <v>42</v>
      </c>
      <c r="D403" t="s">
        <v>51</v>
      </c>
      <c r="E403">
        <v>2050</v>
      </c>
      <c r="F403">
        <v>754454.34753710544</v>
      </c>
    </row>
    <row r="404" spans="1:6" x14ac:dyDescent="0.25">
      <c r="A404" t="s">
        <v>151</v>
      </c>
      <c r="B404" t="s">
        <v>13</v>
      </c>
      <c r="C404" t="s">
        <v>27</v>
      </c>
      <c r="D404" t="s">
        <v>137</v>
      </c>
      <c r="E404">
        <v>2019</v>
      </c>
      <c r="F404">
        <v>0</v>
      </c>
    </row>
    <row r="405" spans="1:6" x14ac:dyDescent="0.25">
      <c r="A405" t="s">
        <v>151</v>
      </c>
      <c r="B405" t="s">
        <v>13</v>
      </c>
      <c r="C405" t="s">
        <v>27</v>
      </c>
      <c r="D405" t="s">
        <v>138</v>
      </c>
      <c r="E405">
        <v>2019</v>
      </c>
      <c r="F405">
        <v>0</v>
      </c>
    </row>
    <row r="406" spans="1:6" x14ac:dyDescent="0.25">
      <c r="A406" t="s">
        <v>151</v>
      </c>
      <c r="B406" t="s">
        <v>13</v>
      </c>
      <c r="C406" t="s">
        <v>27</v>
      </c>
      <c r="D406" t="s">
        <v>137</v>
      </c>
      <c r="E406">
        <v>2030</v>
      </c>
      <c r="F406">
        <v>990256.20734046004</v>
      </c>
    </row>
    <row r="407" spans="1:6" x14ac:dyDescent="0.25">
      <c r="A407" t="s">
        <v>151</v>
      </c>
      <c r="B407" t="s">
        <v>13</v>
      </c>
      <c r="C407" t="s">
        <v>27</v>
      </c>
      <c r="D407" t="s">
        <v>138</v>
      </c>
      <c r="E407">
        <v>2030</v>
      </c>
      <c r="F407">
        <v>247564.05183511501</v>
      </c>
    </row>
    <row r="408" spans="1:6" x14ac:dyDescent="0.25">
      <c r="A408" t="s">
        <v>151</v>
      </c>
      <c r="B408" t="s">
        <v>13</v>
      </c>
      <c r="C408" t="s">
        <v>27</v>
      </c>
      <c r="D408" t="s">
        <v>137</v>
      </c>
      <c r="E408">
        <v>2050</v>
      </c>
      <c r="F408">
        <v>1033505.5653792209</v>
      </c>
    </row>
    <row r="409" spans="1:6" x14ac:dyDescent="0.25">
      <c r="A409" t="s">
        <v>151</v>
      </c>
      <c r="B409" t="s">
        <v>13</v>
      </c>
      <c r="C409" t="s">
        <v>27</v>
      </c>
      <c r="D409" t="s">
        <v>138</v>
      </c>
      <c r="E409">
        <v>2050</v>
      </c>
      <c r="F409">
        <v>258376.39134480522</v>
      </c>
    </row>
    <row r="410" spans="1:6" x14ac:dyDescent="0.25">
      <c r="A410" t="s">
        <v>151</v>
      </c>
      <c r="B410" t="s">
        <v>13</v>
      </c>
      <c r="C410" t="s">
        <v>42</v>
      </c>
      <c r="D410" t="s">
        <v>137</v>
      </c>
      <c r="E410">
        <v>2019</v>
      </c>
      <c r="F410">
        <v>0</v>
      </c>
    </row>
    <row r="411" spans="1:6" x14ac:dyDescent="0.25">
      <c r="A411" t="s">
        <v>151</v>
      </c>
      <c r="B411" t="s">
        <v>13</v>
      </c>
      <c r="C411" t="s">
        <v>42</v>
      </c>
      <c r="D411" t="s">
        <v>138</v>
      </c>
      <c r="E411">
        <v>2019</v>
      </c>
      <c r="F411">
        <v>0</v>
      </c>
    </row>
    <row r="412" spans="1:6" x14ac:dyDescent="0.25">
      <c r="A412" t="s">
        <v>151</v>
      </c>
      <c r="B412" t="s">
        <v>13</v>
      </c>
      <c r="C412" t="s">
        <v>42</v>
      </c>
      <c r="D412" t="s">
        <v>137</v>
      </c>
      <c r="E412">
        <v>2030</v>
      </c>
      <c r="F412">
        <v>353743.79265953973</v>
      </c>
    </row>
    <row r="413" spans="1:6" x14ac:dyDescent="0.25">
      <c r="A413" t="s">
        <v>151</v>
      </c>
      <c r="B413" t="s">
        <v>13</v>
      </c>
      <c r="C413" t="s">
        <v>42</v>
      </c>
      <c r="D413" t="s">
        <v>138</v>
      </c>
      <c r="E413">
        <v>2030</v>
      </c>
      <c r="F413">
        <v>88435.948164884932</v>
      </c>
    </row>
    <row r="414" spans="1:6" x14ac:dyDescent="0.25">
      <c r="A414" t="s">
        <v>151</v>
      </c>
      <c r="B414" t="s">
        <v>13</v>
      </c>
      <c r="C414" t="s">
        <v>42</v>
      </c>
      <c r="D414" t="s">
        <v>137</v>
      </c>
      <c r="E414">
        <v>2050</v>
      </c>
      <c r="F414">
        <v>422494.43462077907</v>
      </c>
    </row>
    <row r="415" spans="1:6" x14ac:dyDescent="0.25">
      <c r="A415" t="s">
        <v>151</v>
      </c>
      <c r="B415" t="s">
        <v>13</v>
      </c>
      <c r="C415" t="s">
        <v>42</v>
      </c>
      <c r="D415" t="s">
        <v>138</v>
      </c>
      <c r="E415">
        <v>2050</v>
      </c>
      <c r="F415">
        <v>105623.60865519477</v>
      </c>
    </row>
    <row r="416" spans="1:6" x14ac:dyDescent="0.25">
      <c r="A416" t="s">
        <v>152</v>
      </c>
      <c r="B416" t="s">
        <v>10</v>
      </c>
      <c r="C416" t="s">
        <v>27</v>
      </c>
      <c r="D416" t="s">
        <v>28</v>
      </c>
      <c r="E416">
        <v>2019</v>
      </c>
      <c r="F416">
        <v>286329.90483694919</v>
      </c>
    </row>
    <row r="417" spans="1:6" x14ac:dyDescent="0.25">
      <c r="A417" t="s">
        <v>152</v>
      </c>
      <c r="B417" t="s">
        <v>10</v>
      </c>
      <c r="C417" t="s">
        <v>27</v>
      </c>
      <c r="D417" t="s">
        <v>29</v>
      </c>
      <c r="E417">
        <v>2019</v>
      </c>
      <c r="F417">
        <v>261374.54615849949</v>
      </c>
    </row>
    <row r="418" spans="1:6" x14ac:dyDescent="0.25">
      <c r="A418" t="s">
        <v>152</v>
      </c>
      <c r="B418" t="s">
        <v>10</v>
      </c>
      <c r="C418" t="s">
        <v>27</v>
      </c>
      <c r="D418" t="s">
        <v>30</v>
      </c>
      <c r="E418">
        <v>2019</v>
      </c>
      <c r="F418">
        <v>119523.03367046962</v>
      </c>
    </row>
    <row r="419" spans="1:6" x14ac:dyDescent="0.25">
      <c r="A419" t="s">
        <v>152</v>
      </c>
      <c r="B419" t="s">
        <v>10</v>
      </c>
      <c r="C419" t="s">
        <v>27</v>
      </c>
      <c r="D419" t="s">
        <v>31</v>
      </c>
      <c r="E419">
        <v>2019</v>
      </c>
      <c r="F419">
        <v>117920.63695532705</v>
      </c>
    </row>
    <row r="420" spans="1:6" x14ac:dyDescent="0.25">
      <c r="A420" t="s">
        <v>152</v>
      </c>
      <c r="B420" t="s">
        <v>10</v>
      </c>
      <c r="C420" t="s">
        <v>27</v>
      </c>
      <c r="D420" t="s">
        <v>32</v>
      </c>
      <c r="E420">
        <v>2019</v>
      </c>
      <c r="F420">
        <v>58080.313724265572</v>
      </c>
    </row>
    <row r="421" spans="1:6" x14ac:dyDescent="0.25">
      <c r="A421" t="s">
        <v>152</v>
      </c>
      <c r="B421" t="s">
        <v>10</v>
      </c>
      <c r="C421" t="s">
        <v>27</v>
      </c>
      <c r="D421" t="s">
        <v>33</v>
      </c>
      <c r="E421">
        <v>2019</v>
      </c>
      <c r="F421">
        <v>0</v>
      </c>
    </row>
    <row r="422" spans="1:6" x14ac:dyDescent="0.25">
      <c r="A422" t="s">
        <v>152</v>
      </c>
      <c r="B422" t="s">
        <v>10</v>
      </c>
      <c r="C422" t="s">
        <v>27</v>
      </c>
      <c r="D422" t="s">
        <v>34</v>
      </c>
      <c r="E422">
        <v>2019</v>
      </c>
      <c r="F422">
        <v>0</v>
      </c>
    </row>
    <row r="423" spans="1:6" x14ac:dyDescent="0.25">
      <c r="A423" t="s">
        <v>152</v>
      </c>
      <c r="B423" t="s">
        <v>10</v>
      </c>
      <c r="C423" t="s">
        <v>27</v>
      </c>
      <c r="D423" t="s">
        <v>35</v>
      </c>
      <c r="E423">
        <v>2019</v>
      </c>
      <c r="F423">
        <v>0</v>
      </c>
    </row>
    <row r="424" spans="1:6" x14ac:dyDescent="0.25">
      <c r="A424" t="s">
        <v>152</v>
      </c>
      <c r="B424" t="s">
        <v>10</v>
      </c>
      <c r="C424" t="s">
        <v>27</v>
      </c>
      <c r="D424" t="s">
        <v>36</v>
      </c>
      <c r="E424">
        <v>2019</v>
      </c>
      <c r="F424">
        <v>0</v>
      </c>
    </row>
    <row r="425" spans="1:6" x14ac:dyDescent="0.25">
      <c r="A425" t="s">
        <v>152</v>
      </c>
      <c r="B425" t="s">
        <v>10</v>
      </c>
      <c r="C425" t="s">
        <v>27</v>
      </c>
      <c r="D425" t="s">
        <v>37</v>
      </c>
      <c r="E425">
        <v>2019</v>
      </c>
      <c r="F425">
        <v>457077.09579476295</v>
      </c>
    </row>
    <row r="426" spans="1:6" x14ac:dyDescent="0.25">
      <c r="A426" t="s">
        <v>152</v>
      </c>
      <c r="B426" t="s">
        <v>10</v>
      </c>
      <c r="C426" t="s">
        <v>27</v>
      </c>
      <c r="D426" t="s">
        <v>38</v>
      </c>
      <c r="E426">
        <v>2019</v>
      </c>
      <c r="F426">
        <v>34149.438191562753</v>
      </c>
    </row>
    <row r="427" spans="1:6" x14ac:dyDescent="0.25">
      <c r="A427" t="s">
        <v>152</v>
      </c>
      <c r="B427" t="s">
        <v>10</v>
      </c>
      <c r="C427" t="s">
        <v>27</v>
      </c>
      <c r="D427" t="s">
        <v>39</v>
      </c>
      <c r="E427">
        <v>2019</v>
      </c>
      <c r="F427">
        <v>31522.55833067331</v>
      </c>
    </row>
    <row r="428" spans="1:6" x14ac:dyDescent="0.25">
      <c r="A428" t="s">
        <v>152</v>
      </c>
      <c r="B428" t="s">
        <v>10</v>
      </c>
      <c r="C428" t="s">
        <v>27</v>
      </c>
      <c r="D428" t="s">
        <v>40</v>
      </c>
      <c r="E428">
        <v>2019</v>
      </c>
      <c r="F428">
        <v>249553.58678449702</v>
      </c>
    </row>
    <row r="429" spans="1:6" x14ac:dyDescent="0.25">
      <c r="A429" t="s">
        <v>152</v>
      </c>
      <c r="B429" t="s">
        <v>10</v>
      </c>
      <c r="C429" t="s">
        <v>27</v>
      </c>
      <c r="D429" t="s">
        <v>41</v>
      </c>
      <c r="E429">
        <v>2019</v>
      </c>
      <c r="F429">
        <v>48597.277426454682</v>
      </c>
    </row>
    <row r="430" spans="1:6" x14ac:dyDescent="0.25">
      <c r="A430" t="s">
        <v>152</v>
      </c>
      <c r="B430" t="s">
        <v>10</v>
      </c>
      <c r="C430" t="s">
        <v>27</v>
      </c>
      <c r="D430" t="s">
        <v>28</v>
      </c>
      <c r="E430">
        <v>2030</v>
      </c>
      <c r="F430">
        <v>295933.04302308214</v>
      </c>
    </row>
    <row r="431" spans="1:6" x14ac:dyDescent="0.25">
      <c r="A431" t="s">
        <v>152</v>
      </c>
      <c r="B431" t="s">
        <v>10</v>
      </c>
      <c r="C431" t="s">
        <v>27</v>
      </c>
      <c r="D431" t="s">
        <v>29</v>
      </c>
      <c r="E431">
        <v>2030</v>
      </c>
      <c r="F431">
        <v>270140.71358529059</v>
      </c>
    </row>
    <row r="432" spans="1:6" x14ac:dyDescent="0.25">
      <c r="A432" t="s">
        <v>152</v>
      </c>
      <c r="B432" t="s">
        <v>10</v>
      </c>
      <c r="C432" t="s">
        <v>27</v>
      </c>
      <c r="D432" t="s">
        <v>30</v>
      </c>
      <c r="E432">
        <v>2030</v>
      </c>
      <c r="F432">
        <v>123531.68309679118</v>
      </c>
    </row>
    <row r="433" spans="1:6" x14ac:dyDescent="0.25">
      <c r="A433" t="s">
        <v>152</v>
      </c>
      <c r="B433" t="s">
        <v>10</v>
      </c>
      <c r="C433" t="s">
        <v>27</v>
      </c>
      <c r="D433" t="s">
        <v>31</v>
      </c>
      <c r="E433">
        <v>2030</v>
      </c>
      <c r="F433">
        <v>97500.435238944279</v>
      </c>
    </row>
    <row r="434" spans="1:6" x14ac:dyDescent="0.25">
      <c r="A434" t="s">
        <v>152</v>
      </c>
      <c r="B434" t="s">
        <v>10</v>
      </c>
      <c r="C434" t="s">
        <v>27</v>
      </c>
      <c r="D434" t="s">
        <v>32</v>
      </c>
      <c r="E434">
        <v>2030</v>
      </c>
      <c r="F434">
        <v>48022.602431121806</v>
      </c>
    </row>
    <row r="435" spans="1:6" x14ac:dyDescent="0.25">
      <c r="A435" t="s">
        <v>152</v>
      </c>
      <c r="B435" t="s">
        <v>10</v>
      </c>
      <c r="C435" t="s">
        <v>27</v>
      </c>
      <c r="D435" t="s">
        <v>33</v>
      </c>
      <c r="E435">
        <v>2030</v>
      </c>
      <c r="F435">
        <v>43439.71273733316</v>
      </c>
    </row>
    <row r="436" spans="1:6" x14ac:dyDescent="0.25">
      <c r="A436" t="s">
        <v>152</v>
      </c>
      <c r="B436" t="s">
        <v>10</v>
      </c>
      <c r="C436" t="s">
        <v>27</v>
      </c>
      <c r="D436" t="s">
        <v>34</v>
      </c>
      <c r="E436">
        <v>2030</v>
      </c>
      <c r="F436">
        <v>0</v>
      </c>
    </row>
    <row r="437" spans="1:6" x14ac:dyDescent="0.25">
      <c r="A437" t="s">
        <v>152</v>
      </c>
      <c r="B437" t="s">
        <v>10</v>
      </c>
      <c r="C437" t="s">
        <v>27</v>
      </c>
      <c r="D437" t="s">
        <v>35</v>
      </c>
      <c r="E437">
        <v>2030</v>
      </c>
      <c r="F437">
        <v>0</v>
      </c>
    </row>
    <row r="438" spans="1:6" x14ac:dyDescent="0.25">
      <c r="A438" t="s">
        <v>152</v>
      </c>
      <c r="B438" t="s">
        <v>10</v>
      </c>
      <c r="C438" t="s">
        <v>27</v>
      </c>
      <c r="D438" t="s">
        <v>36</v>
      </c>
      <c r="E438">
        <v>2030</v>
      </c>
      <c r="F438">
        <v>0</v>
      </c>
    </row>
    <row r="439" spans="1:6" x14ac:dyDescent="0.25">
      <c r="A439" t="s">
        <v>152</v>
      </c>
      <c r="B439" t="s">
        <v>10</v>
      </c>
      <c r="C439" t="s">
        <v>27</v>
      </c>
      <c r="D439" t="s">
        <v>37</v>
      </c>
      <c r="E439">
        <v>2030</v>
      </c>
      <c r="F439">
        <v>472406.87601849809</v>
      </c>
    </row>
    <row r="440" spans="1:6" x14ac:dyDescent="0.25">
      <c r="A440" t="s">
        <v>152</v>
      </c>
      <c r="B440" t="s">
        <v>10</v>
      </c>
      <c r="C440" t="s">
        <v>27</v>
      </c>
      <c r="D440" t="s">
        <v>38</v>
      </c>
      <c r="E440">
        <v>2030</v>
      </c>
      <c r="F440">
        <v>28235.813279266553</v>
      </c>
    </row>
    <row r="441" spans="1:6" x14ac:dyDescent="0.25">
      <c r="A441" t="s">
        <v>152</v>
      </c>
      <c r="B441" t="s">
        <v>10</v>
      </c>
      <c r="C441" t="s">
        <v>27</v>
      </c>
      <c r="D441" t="s">
        <v>39</v>
      </c>
      <c r="E441">
        <v>2030</v>
      </c>
      <c r="F441">
        <v>32579.784552999867</v>
      </c>
    </row>
    <row r="442" spans="1:6" x14ac:dyDescent="0.25">
      <c r="A442" t="s">
        <v>152</v>
      </c>
      <c r="B442" t="s">
        <v>10</v>
      </c>
      <c r="C442" t="s">
        <v>27</v>
      </c>
      <c r="D442" t="s">
        <v>40</v>
      </c>
      <c r="E442">
        <v>2030</v>
      </c>
      <c r="F442">
        <v>257923.29437791562</v>
      </c>
    </row>
    <row r="443" spans="1:6" x14ac:dyDescent="0.25">
      <c r="A443" t="s">
        <v>152</v>
      </c>
      <c r="B443" t="s">
        <v>10</v>
      </c>
      <c r="C443" t="s">
        <v>27</v>
      </c>
      <c r="D443" t="s">
        <v>41</v>
      </c>
      <c r="E443">
        <v>2030</v>
      </c>
      <c r="F443">
        <v>50227.167852541468</v>
      </c>
    </row>
    <row r="444" spans="1:6" x14ac:dyDescent="0.25">
      <c r="A444" t="s">
        <v>152</v>
      </c>
      <c r="B444" t="s">
        <v>10</v>
      </c>
      <c r="C444" t="s">
        <v>27</v>
      </c>
      <c r="D444" t="s">
        <v>28</v>
      </c>
      <c r="E444">
        <v>2050</v>
      </c>
      <c r="F444">
        <v>307470.55071854044</v>
      </c>
    </row>
    <row r="445" spans="1:6" x14ac:dyDescent="0.25">
      <c r="A445" t="s">
        <v>152</v>
      </c>
      <c r="B445" t="s">
        <v>10</v>
      </c>
      <c r="C445" t="s">
        <v>27</v>
      </c>
      <c r="D445" t="s">
        <v>29</v>
      </c>
      <c r="E445">
        <v>2050</v>
      </c>
      <c r="F445">
        <v>280672.65868343826</v>
      </c>
    </row>
    <row r="446" spans="1:6" x14ac:dyDescent="0.25">
      <c r="A446" t="s">
        <v>152</v>
      </c>
      <c r="B446" t="s">
        <v>10</v>
      </c>
      <c r="C446" t="s">
        <v>27</v>
      </c>
      <c r="D446" t="s">
        <v>30</v>
      </c>
      <c r="E446">
        <v>2050</v>
      </c>
      <c r="F446">
        <v>128347.79869443661</v>
      </c>
    </row>
    <row r="447" spans="1:6" x14ac:dyDescent="0.25">
      <c r="A447" t="s">
        <v>152</v>
      </c>
      <c r="B447" t="s">
        <v>10</v>
      </c>
      <c r="C447" t="s">
        <v>27</v>
      </c>
      <c r="D447" t="s">
        <v>31</v>
      </c>
      <c r="E447">
        <v>2050</v>
      </c>
      <c r="F447">
        <v>75976.255165625393</v>
      </c>
    </row>
    <row r="448" spans="1:6" x14ac:dyDescent="0.25">
      <c r="A448" t="s">
        <v>152</v>
      </c>
      <c r="B448" t="s">
        <v>10</v>
      </c>
      <c r="C448" t="s">
        <v>27</v>
      </c>
      <c r="D448" t="s">
        <v>32</v>
      </c>
      <c r="E448">
        <v>2050</v>
      </c>
      <c r="F448">
        <v>37421.140603964748</v>
      </c>
    </row>
    <row r="449" spans="1:6" x14ac:dyDescent="0.25">
      <c r="A449" t="s">
        <v>152</v>
      </c>
      <c r="B449" t="s">
        <v>10</v>
      </c>
      <c r="C449" t="s">
        <v>27</v>
      </c>
      <c r="D449" t="s">
        <v>33</v>
      </c>
      <c r="E449">
        <v>2050</v>
      </c>
      <c r="F449">
        <v>90266.583697186172</v>
      </c>
    </row>
    <row r="450" spans="1:6" x14ac:dyDescent="0.25">
      <c r="A450" t="s">
        <v>152</v>
      </c>
      <c r="B450" t="s">
        <v>10</v>
      </c>
      <c r="C450" t="s">
        <v>27</v>
      </c>
      <c r="D450" t="s">
        <v>34</v>
      </c>
      <c r="E450">
        <v>2050</v>
      </c>
      <c r="F450">
        <v>0</v>
      </c>
    </row>
    <row r="451" spans="1:6" x14ac:dyDescent="0.25">
      <c r="A451" t="s">
        <v>152</v>
      </c>
      <c r="B451" t="s">
        <v>10</v>
      </c>
      <c r="C451" t="s">
        <v>27</v>
      </c>
      <c r="D451" t="s">
        <v>35</v>
      </c>
      <c r="E451">
        <v>2050</v>
      </c>
      <c r="F451">
        <v>0</v>
      </c>
    </row>
    <row r="452" spans="1:6" x14ac:dyDescent="0.25">
      <c r="A452" t="s">
        <v>152</v>
      </c>
      <c r="B452" t="s">
        <v>10</v>
      </c>
      <c r="C452" t="s">
        <v>27</v>
      </c>
      <c r="D452" t="s">
        <v>36</v>
      </c>
      <c r="E452">
        <v>2050</v>
      </c>
      <c r="F452">
        <v>0</v>
      </c>
    </row>
    <row r="453" spans="1:6" x14ac:dyDescent="0.25">
      <c r="A453" t="s">
        <v>152</v>
      </c>
      <c r="B453" t="s">
        <v>10</v>
      </c>
      <c r="C453" t="s">
        <v>27</v>
      </c>
      <c r="D453" t="s">
        <v>37</v>
      </c>
      <c r="E453">
        <v>2050</v>
      </c>
      <c r="F453">
        <v>490824.54885344987</v>
      </c>
    </row>
    <row r="454" spans="1:6" x14ac:dyDescent="0.25">
      <c r="A454" t="s">
        <v>152</v>
      </c>
      <c r="B454" t="s">
        <v>10</v>
      </c>
      <c r="C454" t="s">
        <v>27</v>
      </c>
      <c r="D454" t="s">
        <v>38</v>
      </c>
      <c r="E454">
        <v>2050</v>
      </c>
      <c r="F454">
        <v>22002.479776189128</v>
      </c>
    </row>
    <row r="455" spans="1:6" x14ac:dyDescent="0.25">
      <c r="A455" t="s">
        <v>152</v>
      </c>
      <c r="B455" t="s">
        <v>10</v>
      </c>
      <c r="C455" t="s">
        <v>27</v>
      </c>
      <c r="D455" t="s">
        <v>39</v>
      </c>
      <c r="E455">
        <v>2050</v>
      </c>
      <c r="F455">
        <v>33849.968886444818</v>
      </c>
    </row>
    <row r="456" spans="1:6" x14ac:dyDescent="0.25">
      <c r="A456" t="s">
        <v>152</v>
      </c>
      <c r="B456" t="s">
        <v>10</v>
      </c>
      <c r="C456" t="s">
        <v>27</v>
      </c>
      <c r="D456" t="s">
        <v>40</v>
      </c>
      <c r="E456">
        <v>2050</v>
      </c>
      <c r="F456">
        <v>267978.92035102146</v>
      </c>
    </row>
    <row r="457" spans="1:6" x14ac:dyDescent="0.25">
      <c r="A457" t="s">
        <v>152</v>
      </c>
      <c r="B457" t="s">
        <v>10</v>
      </c>
      <c r="C457" t="s">
        <v>27</v>
      </c>
      <c r="D457" t="s">
        <v>41</v>
      </c>
      <c r="E457">
        <v>2050</v>
      </c>
      <c r="F457">
        <v>52185.36869993576</v>
      </c>
    </row>
    <row r="458" spans="1:6" x14ac:dyDescent="0.25">
      <c r="A458" t="s">
        <v>152</v>
      </c>
      <c r="B458" t="s">
        <v>10</v>
      </c>
      <c r="C458" t="s">
        <v>42</v>
      </c>
      <c r="D458" t="s">
        <v>28</v>
      </c>
      <c r="E458">
        <v>2019</v>
      </c>
      <c r="F458">
        <v>244164.92559492172</v>
      </c>
    </row>
    <row r="459" spans="1:6" x14ac:dyDescent="0.25">
      <c r="A459" t="s">
        <v>152</v>
      </c>
      <c r="B459" t="s">
        <v>10</v>
      </c>
      <c r="C459" t="s">
        <v>42</v>
      </c>
      <c r="D459" t="s">
        <v>29</v>
      </c>
      <c r="E459">
        <v>2019</v>
      </c>
      <c r="F459">
        <v>222884.49629995148</v>
      </c>
    </row>
    <row r="460" spans="1:6" x14ac:dyDescent="0.25">
      <c r="A460" t="s">
        <v>152</v>
      </c>
      <c r="B460" t="s">
        <v>10</v>
      </c>
      <c r="C460" t="s">
        <v>42</v>
      </c>
      <c r="D460" t="s">
        <v>30</v>
      </c>
      <c r="E460">
        <v>2019</v>
      </c>
      <c r="F460">
        <v>101922.05609696274</v>
      </c>
    </row>
    <row r="461" spans="1:6" x14ac:dyDescent="0.25">
      <c r="A461" t="s">
        <v>152</v>
      </c>
      <c r="B461" t="s">
        <v>10</v>
      </c>
      <c r="C461" t="s">
        <v>42</v>
      </c>
      <c r="D461" t="s">
        <v>31</v>
      </c>
      <c r="E461">
        <v>2019</v>
      </c>
      <c r="F461">
        <v>100555.62853170674</v>
      </c>
    </row>
    <row r="462" spans="1:6" x14ac:dyDescent="0.25">
      <c r="A462" t="s">
        <v>152</v>
      </c>
      <c r="B462" t="s">
        <v>10</v>
      </c>
      <c r="C462" t="s">
        <v>42</v>
      </c>
      <c r="D462" t="s">
        <v>32</v>
      </c>
      <c r="E462">
        <v>2019</v>
      </c>
      <c r="F462">
        <v>49527.399127557059</v>
      </c>
    </row>
    <row r="463" spans="1:6" x14ac:dyDescent="0.25">
      <c r="A463" t="s">
        <v>152</v>
      </c>
      <c r="B463" t="s">
        <v>10</v>
      </c>
      <c r="C463" t="s">
        <v>42</v>
      </c>
      <c r="D463" t="s">
        <v>33</v>
      </c>
      <c r="E463">
        <v>2019</v>
      </c>
      <c r="F463">
        <v>0</v>
      </c>
    </row>
    <row r="464" spans="1:6" x14ac:dyDescent="0.25">
      <c r="A464" t="s">
        <v>152</v>
      </c>
      <c r="B464" t="s">
        <v>10</v>
      </c>
      <c r="C464" t="s">
        <v>42</v>
      </c>
      <c r="D464" t="s">
        <v>34</v>
      </c>
      <c r="E464">
        <v>2019</v>
      </c>
      <c r="F464">
        <v>0</v>
      </c>
    </row>
    <row r="465" spans="1:6" x14ac:dyDescent="0.25">
      <c r="A465" t="s">
        <v>152</v>
      </c>
      <c r="B465" t="s">
        <v>10</v>
      </c>
      <c r="C465" t="s">
        <v>42</v>
      </c>
      <c r="D465" t="s">
        <v>35</v>
      </c>
      <c r="E465">
        <v>2019</v>
      </c>
      <c r="F465">
        <v>0</v>
      </c>
    </row>
    <row r="466" spans="1:6" x14ac:dyDescent="0.25">
      <c r="A466" t="s">
        <v>152</v>
      </c>
      <c r="B466" t="s">
        <v>10</v>
      </c>
      <c r="C466" t="s">
        <v>42</v>
      </c>
      <c r="D466" t="s">
        <v>36</v>
      </c>
      <c r="E466">
        <v>2019</v>
      </c>
      <c r="F466">
        <v>0</v>
      </c>
    </row>
    <row r="467" spans="1:6" x14ac:dyDescent="0.25">
      <c r="A467" t="s">
        <v>152</v>
      </c>
      <c r="B467" t="s">
        <v>10</v>
      </c>
      <c r="C467" t="s">
        <v>42</v>
      </c>
      <c r="D467" t="s">
        <v>37</v>
      </c>
      <c r="E467">
        <v>2019</v>
      </c>
      <c r="F467">
        <v>389767.86287629709</v>
      </c>
    </row>
    <row r="468" spans="1:6" x14ac:dyDescent="0.25">
      <c r="A468" t="s">
        <v>152</v>
      </c>
      <c r="B468" t="s">
        <v>10</v>
      </c>
      <c r="C468" t="s">
        <v>42</v>
      </c>
      <c r="D468" t="s">
        <v>38</v>
      </c>
      <c r="E468">
        <v>2019</v>
      </c>
      <c r="F468">
        <v>29120.587456275069</v>
      </c>
    </row>
    <row r="469" spans="1:6" x14ac:dyDescent="0.25">
      <c r="A469" t="s">
        <v>152</v>
      </c>
      <c r="B469" t="s">
        <v>10</v>
      </c>
      <c r="C469" t="s">
        <v>42</v>
      </c>
      <c r="D469" t="s">
        <v>39</v>
      </c>
      <c r="E469">
        <v>2019</v>
      </c>
      <c r="F469">
        <v>26880.542267330831</v>
      </c>
    </row>
    <row r="470" spans="1:6" x14ac:dyDescent="0.25">
      <c r="A470" t="s">
        <v>152</v>
      </c>
      <c r="B470" t="s">
        <v>10</v>
      </c>
      <c r="C470" t="s">
        <v>42</v>
      </c>
      <c r="D470" t="s">
        <v>40</v>
      </c>
      <c r="E470">
        <v>2019</v>
      </c>
      <c r="F470">
        <v>212804.29294970242</v>
      </c>
    </row>
    <row r="471" spans="1:6" x14ac:dyDescent="0.25">
      <c r="A471" t="s">
        <v>152</v>
      </c>
      <c r="B471" t="s">
        <v>10</v>
      </c>
      <c r="C471" t="s">
        <v>42</v>
      </c>
      <c r="D471" t="s">
        <v>41</v>
      </c>
      <c r="E471">
        <v>2019</v>
      </c>
      <c r="F471">
        <v>41440.835995468369</v>
      </c>
    </row>
    <row r="472" spans="1:6" x14ac:dyDescent="0.25">
      <c r="A472" t="s">
        <v>152</v>
      </c>
      <c r="B472" t="s">
        <v>10</v>
      </c>
      <c r="C472" t="s">
        <v>42</v>
      </c>
      <c r="D472" t="s">
        <v>28</v>
      </c>
      <c r="E472">
        <v>2030</v>
      </c>
      <c r="F472">
        <v>256234.83946537593</v>
      </c>
    </row>
    <row r="473" spans="1:6" x14ac:dyDescent="0.25">
      <c r="A473" t="s">
        <v>152</v>
      </c>
      <c r="B473" t="s">
        <v>10</v>
      </c>
      <c r="C473" t="s">
        <v>42</v>
      </c>
      <c r="D473" t="s">
        <v>29</v>
      </c>
      <c r="E473">
        <v>2030</v>
      </c>
      <c r="F473">
        <v>233902.44520004498</v>
      </c>
    </row>
    <row r="474" spans="1:6" x14ac:dyDescent="0.25">
      <c r="A474" t="s">
        <v>152</v>
      </c>
      <c r="B474" t="s">
        <v>10</v>
      </c>
      <c r="C474" t="s">
        <v>42</v>
      </c>
      <c r="D474" t="s">
        <v>30</v>
      </c>
      <c r="E474">
        <v>2030</v>
      </c>
      <c r="F474">
        <v>106960.41463921656</v>
      </c>
    </row>
    <row r="475" spans="1:6" x14ac:dyDescent="0.25">
      <c r="A475" t="s">
        <v>152</v>
      </c>
      <c r="B475" t="s">
        <v>10</v>
      </c>
      <c r="C475" t="s">
        <v>42</v>
      </c>
      <c r="D475" t="s">
        <v>31</v>
      </c>
      <c r="E475">
        <v>2030</v>
      </c>
      <c r="F475">
        <v>84421.151879638346</v>
      </c>
    </row>
    <row r="476" spans="1:6" x14ac:dyDescent="0.25">
      <c r="A476" t="s">
        <v>152</v>
      </c>
      <c r="B476" t="s">
        <v>10</v>
      </c>
      <c r="C476" t="s">
        <v>42</v>
      </c>
      <c r="D476" t="s">
        <v>32</v>
      </c>
      <c r="E476">
        <v>2030</v>
      </c>
      <c r="F476">
        <v>41580.567343702467</v>
      </c>
    </row>
    <row r="477" spans="1:6" x14ac:dyDescent="0.25">
      <c r="A477" t="s">
        <v>152</v>
      </c>
      <c r="B477" t="s">
        <v>10</v>
      </c>
      <c r="C477" t="s">
        <v>42</v>
      </c>
      <c r="D477" t="s">
        <v>33</v>
      </c>
      <c r="E477">
        <v>2030</v>
      </c>
      <c r="F477">
        <v>37612.453499504722</v>
      </c>
    </row>
    <row r="478" spans="1:6" x14ac:dyDescent="0.25">
      <c r="A478" t="s">
        <v>152</v>
      </c>
      <c r="B478" t="s">
        <v>10</v>
      </c>
      <c r="C478" t="s">
        <v>42</v>
      </c>
      <c r="D478" t="s">
        <v>34</v>
      </c>
      <c r="E478">
        <v>2030</v>
      </c>
      <c r="F478">
        <v>0</v>
      </c>
    </row>
    <row r="479" spans="1:6" x14ac:dyDescent="0.25">
      <c r="A479" t="s">
        <v>152</v>
      </c>
      <c r="B479" t="s">
        <v>10</v>
      </c>
      <c r="C479" t="s">
        <v>42</v>
      </c>
      <c r="D479" t="s">
        <v>35</v>
      </c>
      <c r="E479">
        <v>2030</v>
      </c>
      <c r="F479">
        <v>0</v>
      </c>
    </row>
    <row r="480" spans="1:6" x14ac:dyDescent="0.25">
      <c r="A480" t="s">
        <v>152</v>
      </c>
      <c r="B480" t="s">
        <v>10</v>
      </c>
      <c r="C480" t="s">
        <v>42</v>
      </c>
      <c r="D480" t="s">
        <v>36</v>
      </c>
      <c r="E480">
        <v>2030</v>
      </c>
      <c r="F480">
        <v>0</v>
      </c>
    </row>
    <row r="481" spans="1:6" x14ac:dyDescent="0.25">
      <c r="A481" t="s">
        <v>152</v>
      </c>
      <c r="B481" t="s">
        <v>10</v>
      </c>
      <c r="C481" t="s">
        <v>42</v>
      </c>
      <c r="D481" t="s">
        <v>37</v>
      </c>
      <c r="E481">
        <v>2030</v>
      </c>
      <c r="F481">
        <v>409035.43180711387</v>
      </c>
    </row>
    <row r="482" spans="1:6" x14ac:dyDescent="0.25">
      <c r="A482" t="s">
        <v>152</v>
      </c>
      <c r="B482" t="s">
        <v>10</v>
      </c>
      <c r="C482" t="s">
        <v>42</v>
      </c>
      <c r="D482" t="s">
        <v>38</v>
      </c>
      <c r="E482">
        <v>2030</v>
      </c>
      <c r="F482">
        <v>24448.094774678073</v>
      </c>
    </row>
    <row r="483" spans="1:6" x14ac:dyDescent="0.25">
      <c r="A483" t="s">
        <v>152</v>
      </c>
      <c r="B483" t="s">
        <v>10</v>
      </c>
      <c r="C483" t="s">
        <v>42</v>
      </c>
      <c r="D483" t="s">
        <v>39</v>
      </c>
      <c r="E483">
        <v>2030</v>
      </c>
      <c r="F483">
        <v>28209.340124628539</v>
      </c>
    </row>
    <row r="484" spans="1:6" x14ac:dyDescent="0.25">
      <c r="A484" t="s">
        <v>152</v>
      </c>
      <c r="B484" t="s">
        <v>10</v>
      </c>
      <c r="C484" t="s">
        <v>42</v>
      </c>
      <c r="D484" t="s">
        <v>40</v>
      </c>
      <c r="E484">
        <v>2030</v>
      </c>
      <c r="F484">
        <v>223323.94265330929</v>
      </c>
    </row>
    <row r="485" spans="1:6" x14ac:dyDescent="0.25">
      <c r="A485" t="s">
        <v>152</v>
      </c>
      <c r="B485" t="s">
        <v>10</v>
      </c>
      <c r="C485" t="s">
        <v>42</v>
      </c>
      <c r="D485" t="s">
        <v>41</v>
      </c>
      <c r="E485">
        <v>2030</v>
      </c>
      <c r="F485">
        <v>43489.39935880233</v>
      </c>
    </row>
    <row r="486" spans="1:6" x14ac:dyDescent="0.25">
      <c r="A486" t="s">
        <v>152</v>
      </c>
      <c r="B486" t="s">
        <v>10</v>
      </c>
      <c r="C486" t="s">
        <v>42</v>
      </c>
      <c r="D486" t="s">
        <v>28</v>
      </c>
      <c r="E486">
        <v>2050</v>
      </c>
      <c r="F486">
        <v>268249.01834925939</v>
      </c>
    </row>
    <row r="487" spans="1:6" x14ac:dyDescent="0.25">
      <c r="A487" t="s">
        <v>152</v>
      </c>
      <c r="B487" t="s">
        <v>10</v>
      </c>
      <c r="C487" t="s">
        <v>42</v>
      </c>
      <c r="D487" t="s">
        <v>29</v>
      </c>
      <c r="E487">
        <v>2050</v>
      </c>
      <c r="F487">
        <v>244869.51675001203</v>
      </c>
    </row>
    <row r="488" spans="1:6" x14ac:dyDescent="0.25">
      <c r="A488" t="s">
        <v>152</v>
      </c>
      <c r="B488" t="s">
        <v>10</v>
      </c>
      <c r="C488" t="s">
        <v>42</v>
      </c>
      <c r="D488" t="s">
        <v>30</v>
      </c>
      <c r="E488">
        <v>2050</v>
      </c>
      <c r="F488">
        <v>111975.50765955324</v>
      </c>
    </row>
    <row r="489" spans="1:6" x14ac:dyDescent="0.25">
      <c r="A489" t="s">
        <v>152</v>
      </c>
      <c r="B489" t="s">
        <v>10</v>
      </c>
      <c r="C489" t="s">
        <v>42</v>
      </c>
      <c r="D489" t="s">
        <v>31</v>
      </c>
      <c r="E489">
        <v>2050</v>
      </c>
      <c r="F489">
        <v>66284.578534118831</v>
      </c>
    </row>
    <row r="490" spans="1:6" x14ac:dyDescent="0.25">
      <c r="A490" t="s">
        <v>152</v>
      </c>
      <c r="B490" t="s">
        <v>10</v>
      </c>
      <c r="C490" t="s">
        <v>42</v>
      </c>
      <c r="D490" t="s">
        <v>32</v>
      </c>
      <c r="E490">
        <v>2050</v>
      </c>
      <c r="F490">
        <v>32647.628233222706</v>
      </c>
    </row>
    <row r="491" spans="1:6" x14ac:dyDescent="0.25">
      <c r="A491" t="s">
        <v>152</v>
      </c>
      <c r="B491" t="s">
        <v>10</v>
      </c>
      <c r="C491" t="s">
        <v>42</v>
      </c>
      <c r="D491" t="s">
        <v>33</v>
      </c>
      <c r="E491">
        <v>2050</v>
      </c>
      <c r="F491">
        <v>78752.00538693853</v>
      </c>
    </row>
    <row r="492" spans="1:6" x14ac:dyDescent="0.25">
      <c r="A492" t="s">
        <v>152</v>
      </c>
      <c r="B492" t="s">
        <v>10</v>
      </c>
      <c r="C492" t="s">
        <v>42</v>
      </c>
      <c r="D492" t="s">
        <v>34</v>
      </c>
      <c r="E492">
        <v>2050</v>
      </c>
      <c r="F492">
        <v>0</v>
      </c>
    </row>
    <row r="493" spans="1:6" x14ac:dyDescent="0.25">
      <c r="A493" t="s">
        <v>152</v>
      </c>
      <c r="B493" t="s">
        <v>10</v>
      </c>
      <c r="C493" t="s">
        <v>42</v>
      </c>
      <c r="D493" t="s">
        <v>35</v>
      </c>
      <c r="E493">
        <v>2050</v>
      </c>
      <c r="F493">
        <v>0</v>
      </c>
    </row>
    <row r="494" spans="1:6" x14ac:dyDescent="0.25">
      <c r="A494" t="s">
        <v>152</v>
      </c>
      <c r="B494" t="s">
        <v>10</v>
      </c>
      <c r="C494" t="s">
        <v>42</v>
      </c>
      <c r="D494" t="s">
        <v>36</v>
      </c>
      <c r="E494">
        <v>2050</v>
      </c>
      <c r="F494">
        <v>0</v>
      </c>
    </row>
    <row r="495" spans="1:6" x14ac:dyDescent="0.25">
      <c r="A495" t="s">
        <v>152</v>
      </c>
      <c r="B495" t="s">
        <v>10</v>
      </c>
      <c r="C495" t="s">
        <v>42</v>
      </c>
      <c r="D495" t="s">
        <v>37</v>
      </c>
      <c r="E495">
        <v>2050</v>
      </c>
      <c r="F495">
        <v>428214.02929147833</v>
      </c>
    </row>
    <row r="496" spans="1:6" x14ac:dyDescent="0.25">
      <c r="A496" t="s">
        <v>152</v>
      </c>
      <c r="B496" t="s">
        <v>10</v>
      </c>
      <c r="C496" t="s">
        <v>42</v>
      </c>
      <c r="D496" t="s">
        <v>38</v>
      </c>
      <c r="E496">
        <v>2050</v>
      </c>
      <c r="F496">
        <v>19195.801313066269</v>
      </c>
    </row>
    <row r="497" spans="1:6" x14ac:dyDescent="0.25">
      <c r="A497" t="s">
        <v>152</v>
      </c>
      <c r="B497" t="s">
        <v>10</v>
      </c>
      <c r="C497" t="s">
        <v>42</v>
      </c>
      <c r="D497" t="s">
        <v>39</v>
      </c>
      <c r="E497">
        <v>2050</v>
      </c>
      <c r="F497">
        <v>29532.002020101954</v>
      </c>
    </row>
    <row r="498" spans="1:6" x14ac:dyDescent="0.25">
      <c r="A498" t="s">
        <v>152</v>
      </c>
      <c r="B498" t="s">
        <v>10</v>
      </c>
      <c r="C498" t="s">
        <v>42</v>
      </c>
      <c r="D498" t="s">
        <v>40</v>
      </c>
      <c r="E498">
        <v>2050</v>
      </c>
      <c r="F498">
        <v>233795.01599247381</v>
      </c>
    </row>
    <row r="499" spans="1:6" x14ac:dyDescent="0.25">
      <c r="A499" t="s">
        <v>152</v>
      </c>
      <c r="B499" t="s">
        <v>10</v>
      </c>
      <c r="C499" t="s">
        <v>42</v>
      </c>
      <c r="D499" t="s">
        <v>41</v>
      </c>
      <c r="E499">
        <v>2050</v>
      </c>
      <c r="F499">
        <v>45528.503114323845</v>
      </c>
    </row>
    <row r="500" spans="1:6" x14ac:dyDescent="0.25">
      <c r="A500" t="s">
        <v>152</v>
      </c>
      <c r="B500" t="s">
        <v>11</v>
      </c>
      <c r="C500" t="s">
        <v>27</v>
      </c>
      <c r="D500" t="s">
        <v>43</v>
      </c>
      <c r="E500">
        <v>2019</v>
      </c>
      <c r="F500">
        <v>2534442.072977222</v>
      </c>
    </row>
    <row r="501" spans="1:6" x14ac:dyDescent="0.25">
      <c r="A501" t="s">
        <v>152</v>
      </c>
      <c r="B501" t="s">
        <v>11</v>
      </c>
      <c r="C501" t="s">
        <v>27</v>
      </c>
      <c r="D501" t="s">
        <v>44</v>
      </c>
      <c r="E501">
        <v>2019</v>
      </c>
      <c r="F501">
        <v>4066864.6068164087</v>
      </c>
    </row>
    <row r="502" spans="1:6" x14ac:dyDescent="0.25">
      <c r="A502" t="s">
        <v>152</v>
      </c>
      <c r="B502" t="s">
        <v>11</v>
      </c>
      <c r="C502" t="s">
        <v>27</v>
      </c>
      <c r="D502" t="s">
        <v>45</v>
      </c>
      <c r="E502">
        <v>2019</v>
      </c>
      <c r="F502">
        <v>4103.8061780475591</v>
      </c>
    </row>
    <row r="503" spans="1:6" x14ac:dyDescent="0.25">
      <c r="A503" t="s">
        <v>152</v>
      </c>
      <c r="B503" t="s">
        <v>11</v>
      </c>
      <c r="C503" t="s">
        <v>27</v>
      </c>
      <c r="D503" t="s">
        <v>46</v>
      </c>
      <c r="E503">
        <v>2019</v>
      </c>
      <c r="F503">
        <v>1460182.5874658169</v>
      </c>
    </row>
    <row r="504" spans="1:6" x14ac:dyDescent="0.25">
      <c r="A504" t="s">
        <v>152</v>
      </c>
      <c r="B504" t="s">
        <v>11</v>
      </c>
      <c r="C504" t="s">
        <v>27</v>
      </c>
      <c r="D504" t="s">
        <v>47</v>
      </c>
      <c r="E504">
        <v>2019</v>
      </c>
      <c r="F504">
        <v>393543.64426779439</v>
      </c>
    </row>
    <row r="505" spans="1:6" x14ac:dyDescent="0.25">
      <c r="A505" t="s">
        <v>152</v>
      </c>
      <c r="B505" t="s">
        <v>11</v>
      </c>
      <c r="C505" t="s">
        <v>27</v>
      </c>
      <c r="D505" t="s">
        <v>48</v>
      </c>
      <c r="E505">
        <v>2019</v>
      </c>
      <c r="F505">
        <v>716103.75203569303</v>
      </c>
    </row>
    <row r="506" spans="1:6" x14ac:dyDescent="0.25">
      <c r="A506" t="s">
        <v>152</v>
      </c>
      <c r="B506" t="s">
        <v>11</v>
      </c>
      <c r="C506" t="s">
        <v>27</v>
      </c>
      <c r="D506" t="s">
        <v>49</v>
      </c>
      <c r="E506">
        <v>2019</v>
      </c>
      <c r="F506">
        <v>671194.67155029252</v>
      </c>
    </row>
    <row r="507" spans="1:6" x14ac:dyDescent="0.25">
      <c r="A507" t="s">
        <v>152</v>
      </c>
      <c r="B507" t="s">
        <v>11</v>
      </c>
      <c r="C507" t="s">
        <v>27</v>
      </c>
      <c r="D507" t="s">
        <v>50</v>
      </c>
      <c r="E507">
        <v>2019</v>
      </c>
      <c r="F507">
        <v>0</v>
      </c>
    </row>
    <row r="508" spans="1:6" x14ac:dyDescent="0.25">
      <c r="A508" t="s">
        <v>152</v>
      </c>
      <c r="B508" t="s">
        <v>11</v>
      </c>
      <c r="C508" t="s">
        <v>27</v>
      </c>
      <c r="D508" t="s">
        <v>51</v>
      </c>
      <c r="E508">
        <v>2019</v>
      </c>
      <c r="F508">
        <v>53138.892747161146</v>
      </c>
    </row>
    <row r="509" spans="1:6" x14ac:dyDescent="0.25">
      <c r="A509" t="s">
        <v>152</v>
      </c>
      <c r="B509" t="s">
        <v>11</v>
      </c>
      <c r="C509" t="s">
        <v>27</v>
      </c>
      <c r="D509" t="s">
        <v>28</v>
      </c>
      <c r="E509">
        <v>2019</v>
      </c>
      <c r="F509">
        <v>2840.1853290986264</v>
      </c>
    </row>
    <row r="510" spans="1:6" x14ac:dyDescent="0.25">
      <c r="A510" t="s">
        <v>152</v>
      </c>
      <c r="B510" t="s">
        <v>11</v>
      </c>
      <c r="C510" t="s">
        <v>27</v>
      </c>
      <c r="D510" t="s">
        <v>52</v>
      </c>
      <c r="E510">
        <v>2019</v>
      </c>
      <c r="F510">
        <v>75746.163899662715</v>
      </c>
    </row>
    <row r="511" spans="1:6" x14ac:dyDescent="0.25">
      <c r="A511" t="s">
        <v>152</v>
      </c>
      <c r="B511" t="s">
        <v>11</v>
      </c>
      <c r="C511" t="s">
        <v>27</v>
      </c>
      <c r="D511" t="s">
        <v>53</v>
      </c>
      <c r="E511">
        <v>2019</v>
      </c>
      <c r="F511">
        <v>314821.43493156106</v>
      </c>
    </row>
    <row r="512" spans="1:6" x14ac:dyDescent="0.25">
      <c r="A512" t="s">
        <v>152</v>
      </c>
      <c r="B512" t="s">
        <v>11</v>
      </c>
      <c r="C512" t="s">
        <v>27</v>
      </c>
      <c r="D512" t="s">
        <v>54</v>
      </c>
      <c r="E512">
        <v>2019</v>
      </c>
      <c r="F512">
        <v>4101.0489241972273</v>
      </c>
    </row>
    <row r="513" spans="1:6" x14ac:dyDescent="0.25">
      <c r="A513" t="s">
        <v>152</v>
      </c>
      <c r="B513" t="s">
        <v>11</v>
      </c>
      <c r="C513" t="s">
        <v>27</v>
      </c>
      <c r="D513" t="s">
        <v>55</v>
      </c>
      <c r="E513">
        <v>2019</v>
      </c>
      <c r="F513">
        <v>42.099811904105366</v>
      </c>
    </row>
    <row r="514" spans="1:6" x14ac:dyDescent="0.25">
      <c r="A514" t="s">
        <v>152</v>
      </c>
      <c r="B514" t="s">
        <v>11</v>
      </c>
      <c r="C514" t="s">
        <v>27</v>
      </c>
      <c r="D514" t="s">
        <v>56</v>
      </c>
      <c r="E514">
        <v>2019</v>
      </c>
      <c r="F514">
        <v>114193.60000000001</v>
      </c>
    </row>
    <row r="515" spans="1:6" x14ac:dyDescent="0.25">
      <c r="A515" t="s">
        <v>152</v>
      </c>
      <c r="B515" t="s">
        <v>11</v>
      </c>
      <c r="C515" t="s">
        <v>27</v>
      </c>
      <c r="D515" t="s">
        <v>34</v>
      </c>
      <c r="E515">
        <v>2019</v>
      </c>
      <c r="F515">
        <v>0</v>
      </c>
    </row>
    <row r="516" spans="1:6" x14ac:dyDescent="0.25">
      <c r="A516" t="s">
        <v>152</v>
      </c>
      <c r="B516" t="s">
        <v>11</v>
      </c>
      <c r="C516" t="s">
        <v>27</v>
      </c>
      <c r="D516" t="s">
        <v>35</v>
      </c>
      <c r="E516">
        <v>2019</v>
      </c>
      <c r="F516">
        <v>0</v>
      </c>
    </row>
    <row r="517" spans="1:6" x14ac:dyDescent="0.25">
      <c r="A517" t="s">
        <v>152</v>
      </c>
      <c r="B517" t="s">
        <v>11</v>
      </c>
      <c r="C517" t="s">
        <v>27</v>
      </c>
      <c r="D517" t="s">
        <v>43</v>
      </c>
      <c r="E517">
        <v>2030</v>
      </c>
      <c r="F517">
        <v>6406804.0997494543</v>
      </c>
    </row>
    <row r="518" spans="1:6" x14ac:dyDescent="0.25">
      <c r="A518" t="s">
        <v>152</v>
      </c>
      <c r="B518" t="s">
        <v>11</v>
      </c>
      <c r="C518" t="s">
        <v>27</v>
      </c>
      <c r="D518" t="s">
        <v>44</v>
      </c>
      <c r="E518">
        <v>2030</v>
      </c>
      <c r="F518">
        <v>5517986.1023177085</v>
      </c>
    </row>
    <row r="519" spans="1:6" x14ac:dyDescent="0.25">
      <c r="A519" t="s">
        <v>152</v>
      </c>
      <c r="B519" t="s">
        <v>11</v>
      </c>
      <c r="C519" t="s">
        <v>27</v>
      </c>
      <c r="D519" t="s">
        <v>45</v>
      </c>
      <c r="E519">
        <v>2030</v>
      </c>
      <c r="F519">
        <v>4171.3630677727415</v>
      </c>
    </row>
    <row r="520" spans="1:6" x14ac:dyDescent="0.25">
      <c r="A520" t="s">
        <v>152</v>
      </c>
      <c r="B520" t="s">
        <v>11</v>
      </c>
      <c r="C520" t="s">
        <v>27</v>
      </c>
      <c r="D520" t="s">
        <v>46</v>
      </c>
      <c r="E520">
        <v>2030</v>
      </c>
      <c r="F520">
        <v>1977823.4396235351</v>
      </c>
    </row>
    <row r="521" spans="1:6" x14ac:dyDescent="0.25">
      <c r="A521" t="s">
        <v>152</v>
      </c>
      <c r="B521" t="s">
        <v>11</v>
      </c>
      <c r="C521" t="s">
        <v>27</v>
      </c>
      <c r="D521" t="s">
        <v>47</v>
      </c>
      <c r="E521">
        <v>2030</v>
      </c>
      <c r="F521">
        <v>160784.27543959947</v>
      </c>
    </row>
    <row r="522" spans="1:6" x14ac:dyDescent="0.25">
      <c r="A522" t="s">
        <v>152</v>
      </c>
      <c r="B522" t="s">
        <v>11</v>
      </c>
      <c r="C522" t="s">
        <v>27</v>
      </c>
      <c r="D522" t="s">
        <v>48</v>
      </c>
      <c r="E522">
        <v>2030</v>
      </c>
      <c r="F522">
        <v>423836.45238569059</v>
      </c>
    </row>
    <row r="523" spans="1:6" x14ac:dyDescent="0.25">
      <c r="A523" t="s">
        <v>152</v>
      </c>
      <c r="B523" t="s">
        <v>11</v>
      </c>
      <c r="C523" t="s">
        <v>27</v>
      </c>
      <c r="D523" t="s">
        <v>49</v>
      </c>
      <c r="E523">
        <v>2030</v>
      </c>
      <c r="F523">
        <v>1138187.530199375</v>
      </c>
    </row>
    <row r="524" spans="1:6" x14ac:dyDescent="0.25">
      <c r="A524" t="s">
        <v>152</v>
      </c>
      <c r="B524" t="s">
        <v>11</v>
      </c>
      <c r="C524" t="s">
        <v>27</v>
      </c>
      <c r="D524" t="s">
        <v>50</v>
      </c>
      <c r="E524">
        <v>2030</v>
      </c>
      <c r="F524">
        <v>480579.40695576021</v>
      </c>
    </row>
    <row r="525" spans="1:6" x14ac:dyDescent="0.25">
      <c r="A525" t="s">
        <v>152</v>
      </c>
      <c r="B525" t="s">
        <v>11</v>
      </c>
      <c r="C525" t="s">
        <v>27</v>
      </c>
      <c r="D525" t="s">
        <v>51</v>
      </c>
      <c r="E525">
        <v>2030</v>
      </c>
      <c r="F525">
        <v>580815.445162041</v>
      </c>
    </row>
    <row r="526" spans="1:6" x14ac:dyDescent="0.25">
      <c r="A526" t="s">
        <v>152</v>
      </c>
      <c r="B526" t="s">
        <v>11</v>
      </c>
      <c r="C526" t="s">
        <v>27</v>
      </c>
      <c r="D526" t="s">
        <v>28</v>
      </c>
      <c r="E526">
        <v>2030</v>
      </c>
      <c r="F526">
        <v>0</v>
      </c>
    </row>
    <row r="527" spans="1:6" x14ac:dyDescent="0.25">
      <c r="A527" t="s">
        <v>152</v>
      </c>
      <c r="B527" t="s">
        <v>11</v>
      </c>
      <c r="C527" t="s">
        <v>27</v>
      </c>
      <c r="D527" t="s">
        <v>52</v>
      </c>
      <c r="E527">
        <v>2030</v>
      </c>
      <c r="F527">
        <v>0</v>
      </c>
    </row>
    <row r="528" spans="1:6" x14ac:dyDescent="0.25">
      <c r="A528" t="s">
        <v>152</v>
      </c>
      <c r="B528" t="s">
        <v>11</v>
      </c>
      <c r="C528" t="s">
        <v>27</v>
      </c>
      <c r="D528" t="s">
        <v>53</v>
      </c>
      <c r="E528">
        <v>2030</v>
      </c>
      <c r="F528">
        <v>0</v>
      </c>
    </row>
    <row r="529" spans="1:6" x14ac:dyDescent="0.25">
      <c r="A529" t="s">
        <v>152</v>
      </c>
      <c r="B529" t="s">
        <v>11</v>
      </c>
      <c r="C529" t="s">
        <v>27</v>
      </c>
      <c r="D529" t="s">
        <v>54</v>
      </c>
      <c r="E529">
        <v>2030</v>
      </c>
      <c r="F529">
        <v>0</v>
      </c>
    </row>
    <row r="530" spans="1:6" x14ac:dyDescent="0.25">
      <c r="A530" t="s">
        <v>152</v>
      </c>
      <c r="B530" t="s">
        <v>11</v>
      </c>
      <c r="C530" t="s">
        <v>27</v>
      </c>
      <c r="D530" t="s">
        <v>55</v>
      </c>
      <c r="E530">
        <v>2030</v>
      </c>
      <c r="F530">
        <v>0</v>
      </c>
    </row>
    <row r="531" spans="1:6" x14ac:dyDescent="0.25">
      <c r="A531" t="s">
        <v>152</v>
      </c>
      <c r="B531" t="s">
        <v>11</v>
      </c>
      <c r="C531" t="s">
        <v>27</v>
      </c>
      <c r="D531" t="s">
        <v>56</v>
      </c>
      <c r="E531">
        <v>2030</v>
      </c>
      <c r="F531">
        <v>114193.60000000001</v>
      </c>
    </row>
    <row r="532" spans="1:6" x14ac:dyDescent="0.25">
      <c r="A532" t="s">
        <v>152</v>
      </c>
      <c r="B532" t="s">
        <v>11</v>
      </c>
      <c r="C532" t="s">
        <v>27</v>
      </c>
      <c r="D532" t="s">
        <v>34</v>
      </c>
      <c r="E532">
        <v>2030</v>
      </c>
      <c r="F532">
        <v>0</v>
      </c>
    </row>
    <row r="533" spans="1:6" x14ac:dyDescent="0.25">
      <c r="A533" t="s">
        <v>152</v>
      </c>
      <c r="B533" t="s">
        <v>11</v>
      </c>
      <c r="C533" t="s">
        <v>27</v>
      </c>
      <c r="D533" t="s">
        <v>35</v>
      </c>
      <c r="E533">
        <v>2030</v>
      </c>
      <c r="F533">
        <v>0</v>
      </c>
    </row>
    <row r="534" spans="1:6" x14ac:dyDescent="0.25">
      <c r="A534" t="s">
        <v>152</v>
      </c>
      <c r="B534" t="s">
        <v>11</v>
      </c>
      <c r="C534" t="s">
        <v>27</v>
      </c>
      <c r="D534" t="s">
        <v>43</v>
      </c>
      <c r="E534">
        <v>2050</v>
      </c>
      <c r="F534">
        <v>7576953.1779792681</v>
      </c>
    </row>
    <row r="535" spans="1:6" x14ac:dyDescent="0.25">
      <c r="A535" t="s">
        <v>152</v>
      </c>
      <c r="B535" t="s">
        <v>11</v>
      </c>
      <c r="C535" t="s">
        <v>27</v>
      </c>
      <c r="D535" t="s">
        <v>44</v>
      </c>
      <c r="E535">
        <v>2050</v>
      </c>
      <c r="F535">
        <v>6686088.4138386576</v>
      </c>
    </row>
    <row r="536" spans="1:6" x14ac:dyDescent="0.25">
      <c r="A536" t="s">
        <v>152</v>
      </c>
      <c r="B536" t="s">
        <v>11</v>
      </c>
      <c r="C536" t="s">
        <v>27</v>
      </c>
      <c r="D536" t="s">
        <v>45</v>
      </c>
      <c r="E536">
        <v>2050</v>
      </c>
      <c r="F536">
        <v>6461.6487918618159</v>
      </c>
    </row>
    <row r="537" spans="1:6" x14ac:dyDescent="0.25">
      <c r="A537" t="s">
        <v>152</v>
      </c>
      <c r="B537" t="s">
        <v>11</v>
      </c>
      <c r="C537" t="s">
        <v>27</v>
      </c>
      <c r="D537" t="s">
        <v>46</v>
      </c>
      <c r="E537">
        <v>2050</v>
      </c>
      <c r="F537">
        <v>3064487.162285368</v>
      </c>
    </row>
    <row r="538" spans="1:6" x14ac:dyDescent="0.25">
      <c r="A538" t="s">
        <v>152</v>
      </c>
      <c r="B538" t="s">
        <v>11</v>
      </c>
      <c r="C538" t="s">
        <v>27</v>
      </c>
      <c r="D538" t="s">
        <v>47</v>
      </c>
      <c r="E538">
        <v>2050</v>
      </c>
      <c r="F538">
        <v>160218.91589496989</v>
      </c>
    </row>
    <row r="539" spans="1:6" x14ac:dyDescent="0.25">
      <c r="A539" t="s">
        <v>152</v>
      </c>
      <c r="B539" t="s">
        <v>11</v>
      </c>
      <c r="C539" t="s">
        <v>27</v>
      </c>
      <c r="D539" t="s">
        <v>48</v>
      </c>
      <c r="E539">
        <v>2050</v>
      </c>
      <c r="F539">
        <v>412791.92061072221</v>
      </c>
    </row>
    <row r="540" spans="1:6" x14ac:dyDescent="0.25">
      <c r="A540" t="s">
        <v>152</v>
      </c>
      <c r="B540" t="s">
        <v>11</v>
      </c>
      <c r="C540" t="s">
        <v>27</v>
      </c>
      <c r="D540" t="s">
        <v>49</v>
      </c>
      <c r="E540">
        <v>2050</v>
      </c>
      <c r="F540">
        <v>1489555.1093907373</v>
      </c>
    </row>
    <row r="541" spans="1:6" x14ac:dyDescent="0.25">
      <c r="A541" t="s">
        <v>152</v>
      </c>
      <c r="B541" t="s">
        <v>11</v>
      </c>
      <c r="C541" t="s">
        <v>27</v>
      </c>
      <c r="D541" t="s">
        <v>50</v>
      </c>
      <c r="E541">
        <v>2050</v>
      </c>
      <c r="F541">
        <v>971882.6717253268</v>
      </c>
    </row>
    <row r="542" spans="1:6" x14ac:dyDescent="0.25">
      <c r="A542" t="s">
        <v>152</v>
      </c>
      <c r="B542" t="s">
        <v>11</v>
      </c>
      <c r="C542" t="s">
        <v>27</v>
      </c>
      <c r="D542" t="s">
        <v>51</v>
      </c>
      <c r="E542">
        <v>2050</v>
      </c>
      <c r="F542">
        <v>176054.43659327109</v>
      </c>
    </row>
    <row r="543" spans="1:6" x14ac:dyDescent="0.25">
      <c r="A543" t="s">
        <v>152</v>
      </c>
      <c r="B543" t="s">
        <v>11</v>
      </c>
      <c r="C543" t="s">
        <v>27</v>
      </c>
      <c r="D543" t="s">
        <v>28</v>
      </c>
      <c r="E543">
        <v>2050</v>
      </c>
      <c r="F543">
        <v>0</v>
      </c>
    </row>
    <row r="544" spans="1:6" x14ac:dyDescent="0.25">
      <c r="A544" t="s">
        <v>152</v>
      </c>
      <c r="B544" t="s">
        <v>11</v>
      </c>
      <c r="C544" t="s">
        <v>27</v>
      </c>
      <c r="D544" t="s">
        <v>52</v>
      </c>
      <c r="E544">
        <v>2050</v>
      </c>
      <c r="F544">
        <v>0</v>
      </c>
    </row>
    <row r="545" spans="1:6" x14ac:dyDescent="0.25">
      <c r="A545" t="s">
        <v>152</v>
      </c>
      <c r="B545" t="s">
        <v>11</v>
      </c>
      <c r="C545" t="s">
        <v>27</v>
      </c>
      <c r="D545" t="s">
        <v>53</v>
      </c>
      <c r="E545">
        <v>2050</v>
      </c>
      <c r="F545">
        <v>0</v>
      </c>
    </row>
    <row r="546" spans="1:6" x14ac:dyDescent="0.25">
      <c r="A546" t="s">
        <v>152</v>
      </c>
      <c r="B546" t="s">
        <v>11</v>
      </c>
      <c r="C546" t="s">
        <v>27</v>
      </c>
      <c r="D546" t="s">
        <v>54</v>
      </c>
      <c r="E546">
        <v>2050</v>
      </c>
      <c r="F546">
        <v>0</v>
      </c>
    </row>
    <row r="547" spans="1:6" x14ac:dyDescent="0.25">
      <c r="A547" t="s">
        <v>152</v>
      </c>
      <c r="B547" t="s">
        <v>11</v>
      </c>
      <c r="C547" t="s">
        <v>27</v>
      </c>
      <c r="D547" t="s">
        <v>55</v>
      </c>
      <c r="E547">
        <v>2050</v>
      </c>
      <c r="F547">
        <v>0</v>
      </c>
    </row>
    <row r="548" spans="1:6" x14ac:dyDescent="0.25">
      <c r="A548" t="s">
        <v>152</v>
      </c>
      <c r="B548" t="s">
        <v>11</v>
      </c>
      <c r="C548" t="s">
        <v>27</v>
      </c>
      <c r="D548" t="s">
        <v>56</v>
      </c>
      <c r="E548">
        <v>2050</v>
      </c>
      <c r="F548">
        <v>114193.60000000001</v>
      </c>
    </row>
    <row r="549" spans="1:6" x14ac:dyDescent="0.25">
      <c r="A549" t="s">
        <v>152</v>
      </c>
      <c r="B549" t="s">
        <v>11</v>
      </c>
      <c r="C549" t="s">
        <v>27</v>
      </c>
      <c r="D549" t="s">
        <v>34</v>
      </c>
      <c r="E549">
        <v>2050</v>
      </c>
      <c r="F549">
        <v>0</v>
      </c>
    </row>
    <row r="550" spans="1:6" x14ac:dyDescent="0.25">
      <c r="A550" t="s">
        <v>152</v>
      </c>
      <c r="B550" t="s">
        <v>11</v>
      </c>
      <c r="C550" t="s">
        <v>27</v>
      </c>
      <c r="D550" t="s">
        <v>35</v>
      </c>
      <c r="E550">
        <v>2050</v>
      </c>
      <c r="F550">
        <v>0</v>
      </c>
    </row>
    <row r="551" spans="1:6" x14ac:dyDescent="0.25">
      <c r="A551" t="s">
        <v>152</v>
      </c>
      <c r="B551" t="s">
        <v>11</v>
      </c>
      <c r="C551" t="s">
        <v>42</v>
      </c>
      <c r="D551" t="s">
        <v>43</v>
      </c>
      <c r="E551">
        <v>2019</v>
      </c>
      <c r="F551">
        <v>380427.26035611134</v>
      </c>
    </row>
    <row r="552" spans="1:6" x14ac:dyDescent="0.25">
      <c r="A552" t="s">
        <v>152</v>
      </c>
      <c r="B552" t="s">
        <v>11</v>
      </c>
      <c r="C552" t="s">
        <v>42</v>
      </c>
      <c r="D552" t="s">
        <v>44</v>
      </c>
      <c r="E552">
        <v>2019</v>
      </c>
      <c r="F552">
        <v>286645.05985025823</v>
      </c>
    </row>
    <row r="553" spans="1:6" x14ac:dyDescent="0.25">
      <c r="A553" t="s">
        <v>152</v>
      </c>
      <c r="B553" t="s">
        <v>11</v>
      </c>
      <c r="C553" t="s">
        <v>42</v>
      </c>
      <c r="D553" t="s">
        <v>45</v>
      </c>
      <c r="E553">
        <v>2019</v>
      </c>
      <c r="F553">
        <v>337.693821952441</v>
      </c>
    </row>
    <row r="554" spans="1:6" x14ac:dyDescent="0.25">
      <c r="A554" t="s">
        <v>152</v>
      </c>
      <c r="B554" t="s">
        <v>11</v>
      </c>
      <c r="C554" t="s">
        <v>42</v>
      </c>
      <c r="D554" t="s">
        <v>46</v>
      </c>
      <c r="E554">
        <v>2019</v>
      </c>
      <c r="F554">
        <v>1208651.4125341829</v>
      </c>
    </row>
    <row r="555" spans="1:6" x14ac:dyDescent="0.25">
      <c r="A555" t="s">
        <v>152</v>
      </c>
      <c r="B555" t="s">
        <v>11</v>
      </c>
      <c r="C555" t="s">
        <v>42</v>
      </c>
      <c r="D555" t="s">
        <v>47</v>
      </c>
      <c r="E555">
        <v>2019</v>
      </c>
      <c r="F555">
        <v>335590.35573220561</v>
      </c>
    </row>
    <row r="556" spans="1:6" x14ac:dyDescent="0.25">
      <c r="A556" t="s">
        <v>152</v>
      </c>
      <c r="B556" t="s">
        <v>11</v>
      </c>
      <c r="C556" t="s">
        <v>42</v>
      </c>
      <c r="D556" t="s">
        <v>48</v>
      </c>
      <c r="E556">
        <v>2019</v>
      </c>
      <c r="F556">
        <v>279550.24796430691</v>
      </c>
    </row>
    <row r="557" spans="1:6" x14ac:dyDescent="0.25">
      <c r="A557" t="s">
        <v>152</v>
      </c>
      <c r="B557" t="s">
        <v>11</v>
      </c>
      <c r="C557" t="s">
        <v>42</v>
      </c>
      <c r="D557" t="s">
        <v>49</v>
      </c>
      <c r="E557">
        <v>2019</v>
      </c>
      <c r="F557">
        <v>85892.328449707566</v>
      </c>
    </row>
    <row r="558" spans="1:6" x14ac:dyDescent="0.25">
      <c r="A558" t="s">
        <v>152</v>
      </c>
      <c r="B558" t="s">
        <v>11</v>
      </c>
      <c r="C558" t="s">
        <v>42</v>
      </c>
      <c r="D558" t="s">
        <v>50</v>
      </c>
      <c r="E558">
        <v>2019</v>
      </c>
      <c r="F558">
        <v>0</v>
      </c>
    </row>
    <row r="559" spans="1:6" x14ac:dyDescent="0.25">
      <c r="A559" t="s">
        <v>152</v>
      </c>
      <c r="B559" t="s">
        <v>11</v>
      </c>
      <c r="C559" t="s">
        <v>42</v>
      </c>
      <c r="D559" t="s">
        <v>51</v>
      </c>
      <c r="E559">
        <v>2019</v>
      </c>
      <c r="F559">
        <v>22795.107252838847</v>
      </c>
    </row>
    <row r="560" spans="1:6" x14ac:dyDescent="0.25">
      <c r="A560" t="s">
        <v>152</v>
      </c>
      <c r="B560" t="s">
        <v>11</v>
      </c>
      <c r="C560" t="s">
        <v>42</v>
      </c>
      <c r="D560" t="s">
        <v>28</v>
      </c>
      <c r="E560">
        <v>2019</v>
      </c>
      <c r="F560">
        <v>945.81467090137289</v>
      </c>
    </row>
    <row r="561" spans="1:6" x14ac:dyDescent="0.25">
      <c r="A561" t="s">
        <v>152</v>
      </c>
      <c r="B561" t="s">
        <v>11</v>
      </c>
      <c r="C561" t="s">
        <v>42</v>
      </c>
      <c r="D561" t="s">
        <v>52</v>
      </c>
      <c r="E561">
        <v>2019</v>
      </c>
      <c r="F561">
        <v>9930.836100337272</v>
      </c>
    </row>
    <row r="562" spans="1:6" x14ac:dyDescent="0.25">
      <c r="A562" t="s">
        <v>152</v>
      </c>
      <c r="B562" t="s">
        <v>11</v>
      </c>
      <c r="C562" t="s">
        <v>42</v>
      </c>
      <c r="D562" t="s">
        <v>53</v>
      </c>
      <c r="E562">
        <v>2019</v>
      </c>
      <c r="F562">
        <v>15204.565068438918</v>
      </c>
    </row>
    <row r="563" spans="1:6" x14ac:dyDescent="0.25">
      <c r="A563" t="s">
        <v>152</v>
      </c>
      <c r="B563" t="s">
        <v>11</v>
      </c>
      <c r="C563" t="s">
        <v>42</v>
      </c>
      <c r="D563" t="s">
        <v>54</v>
      </c>
      <c r="E563">
        <v>2019</v>
      </c>
      <c r="F563">
        <v>24543.951075802775</v>
      </c>
    </row>
    <row r="564" spans="1:6" x14ac:dyDescent="0.25">
      <c r="A564" t="s">
        <v>152</v>
      </c>
      <c r="B564" t="s">
        <v>11</v>
      </c>
      <c r="C564" t="s">
        <v>42</v>
      </c>
      <c r="D564" t="s">
        <v>55</v>
      </c>
      <c r="E564">
        <v>2019</v>
      </c>
      <c r="F564">
        <v>35.900188095894634</v>
      </c>
    </row>
    <row r="565" spans="1:6" x14ac:dyDescent="0.25">
      <c r="A565" t="s">
        <v>152</v>
      </c>
      <c r="B565" t="s">
        <v>11</v>
      </c>
      <c r="C565" t="s">
        <v>42</v>
      </c>
      <c r="D565" t="s">
        <v>56</v>
      </c>
      <c r="E565">
        <v>2019</v>
      </c>
      <c r="F565">
        <v>28548.400000000001</v>
      </c>
    </row>
    <row r="566" spans="1:6" x14ac:dyDescent="0.25">
      <c r="A566" t="s">
        <v>152</v>
      </c>
      <c r="B566" t="s">
        <v>11</v>
      </c>
      <c r="C566" t="s">
        <v>42</v>
      </c>
      <c r="D566" t="s">
        <v>34</v>
      </c>
      <c r="E566">
        <v>2019</v>
      </c>
      <c r="F566">
        <v>0</v>
      </c>
    </row>
    <row r="567" spans="1:6" x14ac:dyDescent="0.25">
      <c r="A567" t="s">
        <v>152</v>
      </c>
      <c r="B567" t="s">
        <v>11</v>
      </c>
      <c r="C567" t="s">
        <v>42</v>
      </c>
      <c r="D567" t="s">
        <v>35</v>
      </c>
      <c r="E567">
        <v>2019</v>
      </c>
      <c r="F567">
        <v>0</v>
      </c>
    </row>
    <row r="568" spans="1:6" x14ac:dyDescent="0.25">
      <c r="A568" t="s">
        <v>152</v>
      </c>
      <c r="B568" t="s">
        <v>11</v>
      </c>
      <c r="C568" t="s">
        <v>42</v>
      </c>
      <c r="D568" t="s">
        <v>43</v>
      </c>
      <c r="E568">
        <v>2030</v>
      </c>
      <c r="F568">
        <v>928327.43116820953</v>
      </c>
    </row>
    <row r="569" spans="1:6" x14ac:dyDescent="0.25">
      <c r="A569" t="s">
        <v>152</v>
      </c>
      <c r="B569" t="s">
        <v>11</v>
      </c>
      <c r="C569" t="s">
        <v>42</v>
      </c>
      <c r="D569" t="s">
        <v>44</v>
      </c>
      <c r="E569">
        <v>2030</v>
      </c>
      <c r="F569">
        <v>392185.39838313882</v>
      </c>
    </row>
    <row r="570" spans="1:6" x14ac:dyDescent="0.25">
      <c r="A570" t="s">
        <v>152</v>
      </c>
      <c r="B570" t="s">
        <v>11</v>
      </c>
      <c r="C570" t="s">
        <v>42</v>
      </c>
      <c r="D570" t="s">
        <v>45</v>
      </c>
      <c r="E570">
        <v>2030</v>
      </c>
      <c r="F570">
        <v>350.10096257642732</v>
      </c>
    </row>
    <row r="571" spans="1:6" x14ac:dyDescent="0.25">
      <c r="A571" t="s">
        <v>152</v>
      </c>
      <c r="B571" t="s">
        <v>11</v>
      </c>
      <c r="C571" t="s">
        <v>42</v>
      </c>
      <c r="D571" t="s">
        <v>46</v>
      </c>
      <c r="E571">
        <v>2030</v>
      </c>
      <c r="F571">
        <v>1671377.9933219841</v>
      </c>
    </row>
    <row r="572" spans="1:6" x14ac:dyDescent="0.25">
      <c r="A572" t="s">
        <v>152</v>
      </c>
      <c r="B572" t="s">
        <v>11</v>
      </c>
      <c r="C572" t="s">
        <v>42</v>
      </c>
      <c r="D572" t="s">
        <v>47</v>
      </c>
      <c r="E572">
        <v>2030</v>
      </c>
      <c r="F572">
        <v>139215.72456040053</v>
      </c>
    </row>
    <row r="573" spans="1:6" x14ac:dyDescent="0.25">
      <c r="A573" t="s">
        <v>152</v>
      </c>
      <c r="B573" t="s">
        <v>11</v>
      </c>
      <c r="C573" t="s">
        <v>42</v>
      </c>
      <c r="D573" t="s">
        <v>48</v>
      </c>
      <c r="E573">
        <v>2030</v>
      </c>
      <c r="F573">
        <v>176163.54761430927</v>
      </c>
    </row>
    <row r="574" spans="1:6" x14ac:dyDescent="0.25">
      <c r="A574" t="s">
        <v>152</v>
      </c>
      <c r="B574" t="s">
        <v>11</v>
      </c>
      <c r="C574" t="s">
        <v>42</v>
      </c>
      <c r="D574" t="s">
        <v>49</v>
      </c>
      <c r="E574">
        <v>2030</v>
      </c>
      <c r="F574">
        <v>153070.96986312003</v>
      </c>
    </row>
    <row r="575" spans="1:6" x14ac:dyDescent="0.25">
      <c r="A575" t="s">
        <v>152</v>
      </c>
      <c r="B575" t="s">
        <v>11</v>
      </c>
      <c r="C575" t="s">
        <v>42</v>
      </c>
      <c r="D575" t="s">
        <v>50</v>
      </c>
      <c r="E575">
        <v>2030</v>
      </c>
      <c r="F575">
        <v>58889.552918757603</v>
      </c>
    </row>
    <row r="576" spans="1:6" x14ac:dyDescent="0.25">
      <c r="A576" t="s">
        <v>152</v>
      </c>
      <c r="B576" t="s">
        <v>11</v>
      </c>
      <c r="C576" t="s">
        <v>42</v>
      </c>
      <c r="D576" t="s">
        <v>51</v>
      </c>
      <c r="E576">
        <v>2030</v>
      </c>
      <c r="F576">
        <v>219184.55483795886</v>
      </c>
    </row>
    <row r="577" spans="1:6" x14ac:dyDescent="0.25">
      <c r="A577" t="s">
        <v>152</v>
      </c>
      <c r="B577" t="s">
        <v>11</v>
      </c>
      <c r="C577" t="s">
        <v>42</v>
      </c>
      <c r="D577" t="s">
        <v>28</v>
      </c>
      <c r="E577">
        <v>2030</v>
      </c>
      <c r="F577">
        <v>0</v>
      </c>
    </row>
    <row r="578" spans="1:6" x14ac:dyDescent="0.25">
      <c r="A578" t="s">
        <v>152</v>
      </c>
      <c r="B578" t="s">
        <v>11</v>
      </c>
      <c r="C578" t="s">
        <v>42</v>
      </c>
      <c r="D578" t="s">
        <v>52</v>
      </c>
      <c r="E578">
        <v>2030</v>
      </c>
      <c r="F578">
        <v>0</v>
      </c>
    </row>
    <row r="579" spans="1:6" x14ac:dyDescent="0.25">
      <c r="A579" t="s">
        <v>152</v>
      </c>
      <c r="B579" t="s">
        <v>11</v>
      </c>
      <c r="C579" t="s">
        <v>42</v>
      </c>
      <c r="D579" t="s">
        <v>53</v>
      </c>
      <c r="E579">
        <v>2030</v>
      </c>
      <c r="F579">
        <v>0</v>
      </c>
    </row>
    <row r="580" spans="1:6" x14ac:dyDescent="0.25">
      <c r="A580" t="s">
        <v>152</v>
      </c>
      <c r="B580" t="s">
        <v>11</v>
      </c>
      <c r="C580" t="s">
        <v>42</v>
      </c>
      <c r="D580" t="s">
        <v>54</v>
      </c>
      <c r="E580">
        <v>2030</v>
      </c>
      <c r="F580">
        <v>0</v>
      </c>
    </row>
    <row r="581" spans="1:6" x14ac:dyDescent="0.25">
      <c r="A581" t="s">
        <v>152</v>
      </c>
      <c r="B581" t="s">
        <v>11</v>
      </c>
      <c r="C581" t="s">
        <v>42</v>
      </c>
      <c r="D581" t="s">
        <v>55</v>
      </c>
      <c r="E581">
        <v>2030</v>
      </c>
      <c r="F581">
        <v>0</v>
      </c>
    </row>
    <row r="582" spans="1:6" x14ac:dyDescent="0.25">
      <c r="A582" t="s">
        <v>152</v>
      </c>
      <c r="B582" t="s">
        <v>11</v>
      </c>
      <c r="C582" t="s">
        <v>42</v>
      </c>
      <c r="D582" t="s">
        <v>56</v>
      </c>
      <c r="E582">
        <v>2030</v>
      </c>
      <c r="F582">
        <v>28548.400000000001</v>
      </c>
    </row>
    <row r="583" spans="1:6" x14ac:dyDescent="0.25">
      <c r="A583" t="s">
        <v>152</v>
      </c>
      <c r="B583" t="s">
        <v>11</v>
      </c>
      <c r="C583" t="s">
        <v>42</v>
      </c>
      <c r="D583" t="s">
        <v>34</v>
      </c>
      <c r="E583">
        <v>2030</v>
      </c>
      <c r="F583">
        <v>0</v>
      </c>
    </row>
    <row r="584" spans="1:6" x14ac:dyDescent="0.25">
      <c r="A584" t="s">
        <v>152</v>
      </c>
      <c r="B584" t="s">
        <v>11</v>
      </c>
      <c r="C584" t="s">
        <v>42</v>
      </c>
      <c r="D584" t="s">
        <v>35</v>
      </c>
      <c r="E584">
        <v>2030</v>
      </c>
      <c r="F584">
        <v>0</v>
      </c>
    </row>
    <row r="585" spans="1:6" x14ac:dyDescent="0.25">
      <c r="A585" t="s">
        <v>152</v>
      </c>
      <c r="B585" t="s">
        <v>11</v>
      </c>
      <c r="C585" t="s">
        <v>42</v>
      </c>
      <c r="D585" t="s">
        <v>43</v>
      </c>
      <c r="E585">
        <v>2050</v>
      </c>
      <c r="F585">
        <v>1097878.6568595667</v>
      </c>
    </row>
    <row r="586" spans="1:6" x14ac:dyDescent="0.25">
      <c r="A586" t="s">
        <v>152</v>
      </c>
      <c r="B586" t="s">
        <v>11</v>
      </c>
      <c r="C586" t="s">
        <v>42</v>
      </c>
      <c r="D586" t="s">
        <v>44</v>
      </c>
      <c r="E586">
        <v>2050</v>
      </c>
      <c r="F586">
        <v>475207.11353455763</v>
      </c>
    </row>
    <row r="587" spans="1:6" x14ac:dyDescent="0.25">
      <c r="A587" t="s">
        <v>152</v>
      </c>
      <c r="B587" t="s">
        <v>11</v>
      </c>
      <c r="C587" t="s">
        <v>42</v>
      </c>
      <c r="D587" t="s">
        <v>45</v>
      </c>
      <c r="E587">
        <v>2050</v>
      </c>
      <c r="F587">
        <v>542.32379802641481</v>
      </c>
    </row>
    <row r="588" spans="1:6" x14ac:dyDescent="0.25">
      <c r="A588" t="s">
        <v>152</v>
      </c>
      <c r="B588" t="s">
        <v>11</v>
      </c>
      <c r="C588" t="s">
        <v>42</v>
      </c>
      <c r="D588" t="s">
        <v>46</v>
      </c>
      <c r="E588">
        <v>2050</v>
      </c>
      <c r="F588">
        <v>2623300.1316456911</v>
      </c>
    </row>
    <row r="589" spans="1:6" x14ac:dyDescent="0.25">
      <c r="A589" t="s">
        <v>152</v>
      </c>
      <c r="B589" t="s">
        <v>11</v>
      </c>
      <c r="C589" t="s">
        <v>42</v>
      </c>
      <c r="D589" t="s">
        <v>47</v>
      </c>
      <c r="E589">
        <v>2050</v>
      </c>
      <c r="F589">
        <v>139781.08410503011</v>
      </c>
    </row>
    <row r="590" spans="1:6" x14ac:dyDescent="0.25">
      <c r="A590" t="s">
        <v>152</v>
      </c>
      <c r="B590" t="s">
        <v>11</v>
      </c>
      <c r="C590" t="s">
        <v>42</v>
      </c>
      <c r="D590" t="s">
        <v>48</v>
      </c>
      <c r="E590">
        <v>2050</v>
      </c>
      <c r="F590">
        <v>187208.07938927782</v>
      </c>
    </row>
    <row r="591" spans="1:6" x14ac:dyDescent="0.25">
      <c r="A591" t="s">
        <v>152</v>
      </c>
      <c r="B591" t="s">
        <v>11</v>
      </c>
      <c r="C591" t="s">
        <v>42</v>
      </c>
      <c r="D591" t="s">
        <v>49</v>
      </c>
      <c r="E591">
        <v>2050</v>
      </c>
      <c r="F591">
        <v>200567.127919394</v>
      </c>
    </row>
    <row r="592" spans="1:6" x14ac:dyDescent="0.25">
      <c r="A592" t="s">
        <v>152</v>
      </c>
      <c r="B592" t="s">
        <v>11</v>
      </c>
      <c r="C592" t="s">
        <v>42</v>
      </c>
      <c r="D592" t="s">
        <v>50</v>
      </c>
      <c r="E592">
        <v>2050</v>
      </c>
      <c r="F592">
        <v>118815.58688817199</v>
      </c>
    </row>
    <row r="593" spans="1:6" x14ac:dyDescent="0.25">
      <c r="A593" t="s">
        <v>152</v>
      </c>
      <c r="B593" t="s">
        <v>11</v>
      </c>
      <c r="C593" t="s">
        <v>42</v>
      </c>
      <c r="D593" t="s">
        <v>51</v>
      </c>
      <c r="E593">
        <v>2050</v>
      </c>
      <c r="F593">
        <v>73945.563406728863</v>
      </c>
    </row>
    <row r="594" spans="1:6" x14ac:dyDescent="0.25">
      <c r="A594" t="s">
        <v>152</v>
      </c>
      <c r="B594" t="s">
        <v>11</v>
      </c>
      <c r="C594" t="s">
        <v>42</v>
      </c>
      <c r="D594" t="s">
        <v>28</v>
      </c>
      <c r="E594">
        <v>2050</v>
      </c>
      <c r="F594">
        <v>0</v>
      </c>
    </row>
    <row r="595" spans="1:6" x14ac:dyDescent="0.25">
      <c r="A595" t="s">
        <v>152</v>
      </c>
      <c r="B595" t="s">
        <v>11</v>
      </c>
      <c r="C595" t="s">
        <v>42</v>
      </c>
      <c r="D595" t="s">
        <v>52</v>
      </c>
      <c r="E595">
        <v>2050</v>
      </c>
      <c r="F595">
        <v>0</v>
      </c>
    </row>
    <row r="596" spans="1:6" x14ac:dyDescent="0.25">
      <c r="A596" t="s">
        <v>152</v>
      </c>
      <c r="B596" t="s">
        <v>11</v>
      </c>
      <c r="C596" t="s">
        <v>42</v>
      </c>
      <c r="D596" t="s">
        <v>53</v>
      </c>
      <c r="E596">
        <v>2050</v>
      </c>
      <c r="F596">
        <v>0</v>
      </c>
    </row>
    <row r="597" spans="1:6" x14ac:dyDescent="0.25">
      <c r="A597" t="s">
        <v>152</v>
      </c>
      <c r="B597" t="s">
        <v>11</v>
      </c>
      <c r="C597" t="s">
        <v>42</v>
      </c>
      <c r="D597" t="s">
        <v>54</v>
      </c>
      <c r="E597">
        <v>2050</v>
      </c>
      <c r="F597">
        <v>0</v>
      </c>
    </row>
    <row r="598" spans="1:6" x14ac:dyDescent="0.25">
      <c r="A598" t="s">
        <v>152</v>
      </c>
      <c r="B598" t="s">
        <v>11</v>
      </c>
      <c r="C598" t="s">
        <v>42</v>
      </c>
      <c r="D598" t="s">
        <v>55</v>
      </c>
      <c r="E598">
        <v>2050</v>
      </c>
      <c r="F598">
        <v>0</v>
      </c>
    </row>
    <row r="599" spans="1:6" x14ac:dyDescent="0.25">
      <c r="A599" t="s">
        <v>152</v>
      </c>
      <c r="B599" t="s">
        <v>11</v>
      </c>
      <c r="C599" t="s">
        <v>42</v>
      </c>
      <c r="D599" t="s">
        <v>56</v>
      </c>
      <c r="E599">
        <v>2050</v>
      </c>
      <c r="F599">
        <v>28548.400000000001</v>
      </c>
    </row>
    <row r="600" spans="1:6" x14ac:dyDescent="0.25">
      <c r="A600" t="s">
        <v>152</v>
      </c>
      <c r="B600" t="s">
        <v>11</v>
      </c>
      <c r="C600" t="s">
        <v>42</v>
      </c>
      <c r="D600" t="s">
        <v>34</v>
      </c>
      <c r="E600">
        <v>2050</v>
      </c>
      <c r="F600">
        <v>0</v>
      </c>
    </row>
    <row r="601" spans="1:6" x14ac:dyDescent="0.25">
      <c r="A601" t="s">
        <v>152</v>
      </c>
      <c r="B601" t="s">
        <v>11</v>
      </c>
      <c r="C601" t="s">
        <v>42</v>
      </c>
      <c r="D601" t="s">
        <v>35</v>
      </c>
      <c r="E601">
        <v>2050</v>
      </c>
      <c r="F601">
        <v>0</v>
      </c>
    </row>
    <row r="602" spans="1:6" x14ac:dyDescent="0.25">
      <c r="A602" t="s">
        <v>152</v>
      </c>
      <c r="B602" t="s">
        <v>8</v>
      </c>
      <c r="C602" t="s">
        <v>27</v>
      </c>
      <c r="D602" t="s">
        <v>28</v>
      </c>
      <c r="E602">
        <v>2019</v>
      </c>
      <c r="F602">
        <v>5879215.2019956242</v>
      </c>
    </row>
    <row r="603" spans="1:6" x14ac:dyDescent="0.25">
      <c r="A603" t="s">
        <v>152</v>
      </c>
      <c r="B603" t="s">
        <v>8</v>
      </c>
      <c r="C603" t="s">
        <v>27</v>
      </c>
      <c r="D603" t="s">
        <v>51</v>
      </c>
      <c r="E603">
        <v>2019</v>
      </c>
      <c r="F603">
        <v>773085.89354292618</v>
      </c>
    </row>
    <row r="604" spans="1:6" x14ac:dyDescent="0.25">
      <c r="A604" t="s">
        <v>152</v>
      </c>
      <c r="B604" t="s">
        <v>8</v>
      </c>
      <c r="C604" t="s">
        <v>27</v>
      </c>
      <c r="D604" t="s">
        <v>30</v>
      </c>
      <c r="E604">
        <v>2019</v>
      </c>
      <c r="F604">
        <v>0</v>
      </c>
    </row>
    <row r="605" spans="1:6" x14ac:dyDescent="0.25">
      <c r="A605" t="s">
        <v>152</v>
      </c>
      <c r="B605" t="s">
        <v>8</v>
      </c>
      <c r="C605" t="s">
        <v>27</v>
      </c>
      <c r="D605" t="s">
        <v>33</v>
      </c>
      <c r="E605">
        <v>2019</v>
      </c>
      <c r="F605">
        <v>64498.47547519199</v>
      </c>
    </row>
    <row r="606" spans="1:6" x14ac:dyDescent="0.25">
      <c r="A606" t="s">
        <v>152</v>
      </c>
      <c r="B606" t="s">
        <v>8</v>
      </c>
      <c r="C606" t="s">
        <v>27</v>
      </c>
      <c r="D606" t="s">
        <v>54</v>
      </c>
      <c r="E606">
        <v>2019</v>
      </c>
      <c r="F606">
        <v>841167.61765562883</v>
      </c>
    </row>
    <row r="607" spans="1:6" x14ac:dyDescent="0.25">
      <c r="A607" t="s">
        <v>152</v>
      </c>
      <c r="B607" t="s">
        <v>8</v>
      </c>
      <c r="C607" t="s">
        <v>27</v>
      </c>
      <c r="D607" t="s">
        <v>53</v>
      </c>
      <c r="E607">
        <v>2019</v>
      </c>
      <c r="F607">
        <v>5657053.7864699634</v>
      </c>
    </row>
    <row r="608" spans="1:6" x14ac:dyDescent="0.25">
      <c r="A608" t="s">
        <v>152</v>
      </c>
      <c r="B608" t="s">
        <v>8</v>
      </c>
      <c r="C608" t="s">
        <v>27</v>
      </c>
      <c r="D608" t="s">
        <v>57</v>
      </c>
      <c r="E608">
        <v>2019</v>
      </c>
      <c r="F608">
        <v>214099.10609126228</v>
      </c>
    </row>
    <row r="609" spans="1:6" x14ac:dyDescent="0.25">
      <c r="A609" t="s">
        <v>152</v>
      </c>
      <c r="B609" t="s">
        <v>8</v>
      </c>
      <c r="C609" t="s">
        <v>27</v>
      </c>
      <c r="D609" t="s">
        <v>35</v>
      </c>
      <c r="E609">
        <v>2019</v>
      </c>
      <c r="F609">
        <v>0</v>
      </c>
    </row>
    <row r="610" spans="1:6" x14ac:dyDescent="0.25">
      <c r="A610" t="s">
        <v>152</v>
      </c>
      <c r="B610" t="s">
        <v>8</v>
      </c>
      <c r="C610" t="s">
        <v>27</v>
      </c>
      <c r="D610" t="s">
        <v>34</v>
      </c>
      <c r="E610">
        <v>2019</v>
      </c>
      <c r="F610">
        <v>0</v>
      </c>
    </row>
    <row r="611" spans="1:6" x14ac:dyDescent="0.25">
      <c r="A611" t="s">
        <v>152</v>
      </c>
      <c r="B611" t="s">
        <v>8</v>
      </c>
      <c r="C611" t="s">
        <v>27</v>
      </c>
      <c r="D611" t="s">
        <v>52</v>
      </c>
      <c r="E611">
        <v>2019</v>
      </c>
      <c r="F611">
        <v>12237689.9092583</v>
      </c>
    </row>
    <row r="612" spans="1:6" x14ac:dyDescent="0.25">
      <c r="A612" t="s">
        <v>152</v>
      </c>
      <c r="B612" t="s">
        <v>8</v>
      </c>
      <c r="C612" t="s">
        <v>27</v>
      </c>
      <c r="D612" t="s">
        <v>58</v>
      </c>
      <c r="E612">
        <v>2019</v>
      </c>
      <c r="F612">
        <v>1515714.1736670118</v>
      </c>
    </row>
    <row r="613" spans="1:6" x14ac:dyDescent="0.25">
      <c r="A613" t="s">
        <v>152</v>
      </c>
      <c r="B613" t="s">
        <v>8</v>
      </c>
      <c r="C613" t="s">
        <v>27</v>
      </c>
      <c r="D613" t="s">
        <v>59</v>
      </c>
      <c r="E613">
        <v>2019</v>
      </c>
      <c r="F613">
        <v>0</v>
      </c>
    </row>
    <row r="614" spans="1:6" x14ac:dyDescent="0.25">
      <c r="A614" t="s">
        <v>152</v>
      </c>
      <c r="B614" t="s">
        <v>8</v>
      </c>
      <c r="C614" t="s">
        <v>27</v>
      </c>
      <c r="D614" t="s">
        <v>60</v>
      </c>
      <c r="E614">
        <v>2019</v>
      </c>
      <c r="F614">
        <v>0</v>
      </c>
    </row>
    <row r="615" spans="1:6" x14ac:dyDescent="0.25">
      <c r="A615" t="s">
        <v>152</v>
      </c>
      <c r="B615" t="s">
        <v>8</v>
      </c>
      <c r="C615" t="s">
        <v>27</v>
      </c>
      <c r="D615" t="s">
        <v>61</v>
      </c>
      <c r="E615">
        <v>2019</v>
      </c>
      <c r="F615">
        <v>39415.735012617326</v>
      </c>
    </row>
    <row r="616" spans="1:6" x14ac:dyDescent="0.25">
      <c r="A616" t="s">
        <v>152</v>
      </c>
      <c r="B616" t="s">
        <v>8</v>
      </c>
      <c r="C616" t="s">
        <v>27</v>
      </c>
      <c r="D616" t="s">
        <v>62</v>
      </c>
      <c r="E616">
        <v>2019</v>
      </c>
      <c r="F616">
        <v>4828427.5390456235</v>
      </c>
    </row>
    <row r="617" spans="1:6" x14ac:dyDescent="0.25">
      <c r="A617" t="s">
        <v>152</v>
      </c>
      <c r="B617" t="s">
        <v>8</v>
      </c>
      <c r="C617" t="s">
        <v>27</v>
      </c>
      <c r="D617" t="s">
        <v>28</v>
      </c>
      <c r="E617">
        <v>2030</v>
      </c>
      <c r="F617">
        <v>5024222.9237584407</v>
      </c>
    </row>
    <row r="618" spans="1:6" x14ac:dyDescent="0.25">
      <c r="A618" t="s">
        <v>152</v>
      </c>
      <c r="B618" t="s">
        <v>8</v>
      </c>
      <c r="C618" t="s">
        <v>27</v>
      </c>
      <c r="D618" t="s">
        <v>51</v>
      </c>
      <c r="E618">
        <v>2030</v>
      </c>
      <c r="F618">
        <v>594794.43348335079</v>
      </c>
    </row>
    <row r="619" spans="1:6" x14ac:dyDescent="0.25">
      <c r="A619" t="s">
        <v>152</v>
      </c>
      <c r="B619" t="s">
        <v>8</v>
      </c>
      <c r="C619" t="s">
        <v>27</v>
      </c>
      <c r="D619" t="s">
        <v>30</v>
      </c>
      <c r="E619">
        <v>2030</v>
      </c>
      <c r="F619">
        <v>0</v>
      </c>
    </row>
    <row r="620" spans="1:6" x14ac:dyDescent="0.25">
      <c r="A620" t="s">
        <v>152</v>
      </c>
      <c r="B620" t="s">
        <v>8</v>
      </c>
      <c r="C620" t="s">
        <v>27</v>
      </c>
      <c r="D620" t="s">
        <v>33</v>
      </c>
      <c r="E620">
        <v>2030</v>
      </c>
      <c r="F620">
        <v>55111.238296058225</v>
      </c>
    </row>
    <row r="621" spans="1:6" x14ac:dyDescent="0.25">
      <c r="A621" t="s">
        <v>152</v>
      </c>
      <c r="B621" t="s">
        <v>8</v>
      </c>
      <c r="C621" t="s">
        <v>27</v>
      </c>
      <c r="D621" t="s">
        <v>54</v>
      </c>
      <c r="E621">
        <v>2030</v>
      </c>
      <c r="F621">
        <v>1558650.6941574311</v>
      </c>
    </row>
    <row r="622" spans="1:6" x14ac:dyDescent="0.25">
      <c r="A622" t="s">
        <v>152</v>
      </c>
      <c r="B622" t="s">
        <v>8</v>
      </c>
      <c r="C622" t="s">
        <v>27</v>
      </c>
      <c r="D622" t="s">
        <v>53</v>
      </c>
      <c r="E622">
        <v>2030</v>
      </c>
      <c r="F622">
        <v>4906538.3992409762</v>
      </c>
    </row>
    <row r="623" spans="1:6" x14ac:dyDescent="0.25">
      <c r="A623" t="s">
        <v>152</v>
      </c>
      <c r="B623" t="s">
        <v>8</v>
      </c>
      <c r="C623" t="s">
        <v>27</v>
      </c>
      <c r="D623" t="s">
        <v>57</v>
      </c>
      <c r="E623">
        <v>2030</v>
      </c>
      <c r="F623">
        <v>224187.19428812375</v>
      </c>
    </row>
    <row r="624" spans="1:6" x14ac:dyDescent="0.25">
      <c r="A624" t="s">
        <v>152</v>
      </c>
      <c r="B624" t="s">
        <v>8</v>
      </c>
      <c r="C624" t="s">
        <v>27</v>
      </c>
      <c r="D624" t="s">
        <v>35</v>
      </c>
      <c r="E624">
        <v>2030</v>
      </c>
      <c r="F624">
        <v>83111.484468738956</v>
      </c>
    </row>
    <row r="625" spans="1:6" x14ac:dyDescent="0.25">
      <c r="A625" t="s">
        <v>152</v>
      </c>
      <c r="B625" t="s">
        <v>8</v>
      </c>
      <c r="C625" t="s">
        <v>27</v>
      </c>
      <c r="D625" t="s">
        <v>34</v>
      </c>
      <c r="E625">
        <v>2030</v>
      </c>
      <c r="F625">
        <v>120246.40306115421</v>
      </c>
    </row>
    <row r="626" spans="1:6" x14ac:dyDescent="0.25">
      <c r="A626" t="s">
        <v>152</v>
      </c>
      <c r="B626" t="s">
        <v>8</v>
      </c>
      <c r="C626" t="s">
        <v>27</v>
      </c>
      <c r="D626" t="s">
        <v>52</v>
      </c>
      <c r="E626">
        <v>2030</v>
      </c>
      <c r="F626">
        <v>10194486.876003446</v>
      </c>
    </row>
    <row r="627" spans="1:6" x14ac:dyDescent="0.25">
      <c r="A627" t="s">
        <v>152</v>
      </c>
      <c r="B627" t="s">
        <v>8</v>
      </c>
      <c r="C627" t="s">
        <v>27</v>
      </c>
      <c r="D627" t="s">
        <v>58</v>
      </c>
      <c r="E627">
        <v>2030</v>
      </c>
      <c r="F627">
        <v>1173309.8106791691</v>
      </c>
    </row>
    <row r="628" spans="1:6" x14ac:dyDescent="0.25">
      <c r="A628" t="s">
        <v>152</v>
      </c>
      <c r="B628" t="s">
        <v>8</v>
      </c>
      <c r="C628" t="s">
        <v>27</v>
      </c>
      <c r="D628" t="s">
        <v>59</v>
      </c>
      <c r="E628">
        <v>2030</v>
      </c>
      <c r="F628">
        <v>694117.89226639119</v>
      </c>
    </row>
    <row r="629" spans="1:6" x14ac:dyDescent="0.25">
      <c r="A629" t="s">
        <v>152</v>
      </c>
      <c r="B629" t="s">
        <v>8</v>
      </c>
      <c r="C629" t="s">
        <v>27</v>
      </c>
      <c r="D629" t="s">
        <v>60</v>
      </c>
      <c r="E629">
        <v>2030</v>
      </c>
      <c r="F629">
        <v>328819.25491631991</v>
      </c>
    </row>
    <row r="630" spans="1:6" x14ac:dyDescent="0.25">
      <c r="A630" t="s">
        <v>152</v>
      </c>
      <c r="B630" t="s">
        <v>8</v>
      </c>
      <c r="C630" t="s">
        <v>27</v>
      </c>
      <c r="D630" t="s">
        <v>61</v>
      </c>
      <c r="E630">
        <v>2030</v>
      </c>
      <c r="F630">
        <v>36992.166178085987</v>
      </c>
    </row>
    <row r="631" spans="1:6" x14ac:dyDescent="0.25">
      <c r="A631" t="s">
        <v>152</v>
      </c>
      <c r="B631" t="s">
        <v>8</v>
      </c>
      <c r="C631" t="s">
        <v>27</v>
      </c>
      <c r="D631" t="s">
        <v>62</v>
      </c>
      <c r="E631">
        <v>2030</v>
      </c>
      <c r="F631">
        <v>2068314.9750861605</v>
      </c>
    </row>
    <row r="632" spans="1:6" x14ac:dyDescent="0.25">
      <c r="A632" t="s">
        <v>152</v>
      </c>
      <c r="B632" t="s">
        <v>8</v>
      </c>
      <c r="C632" t="s">
        <v>27</v>
      </c>
      <c r="D632" t="s">
        <v>28</v>
      </c>
      <c r="E632">
        <v>2050</v>
      </c>
      <c r="F632">
        <v>4168434.2736686366</v>
      </c>
    </row>
    <row r="633" spans="1:6" x14ac:dyDescent="0.25">
      <c r="A633" t="s">
        <v>152</v>
      </c>
      <c r="B633" t="s">
        <v>8</v>
      </c>
      <c r="C633" t="s">
        <v>27</v>
      </c>
      <c r="D633" t="s">
        <v>51</v>
      </c>
      <c r="E633">
        <v>2050</v>
      </c>
      <c r="F633">
        <v>493481.5870918</v>
      </c>
    </row>
    <row r="634" spans="1:6" x14ac:dyDescent="0.25">
      <c r="A634" t="s">
        <v>152</v>
      </c>
      <c r="B634" t="s">
        <v>8</v>
      </c>
      <c r="C634" t="s">
        <v>27</v>
      </c>
      <c r="D634" t="s">
        <v>30</v>
      </c>
      <c r="E634">
        <v>2050</v>
      </c>
      <c r="F634">
        <v>0</v>
      </c>
    </row>
    <row r="635" spans="1:6" x14ac:dyDescent="0.25">
      <c r="A635" t="s">
        <v>152</v>
      </c>
      <c r="B635" t="s">
        <v>8</v>
      </c>
      <c r="C635" t="s">
        <v>27</v>
      </c>
      <c r="D635" t="s">
        <v>33</v>
      </c>
      <c r="E635">
        <v>2050</v>
      </c>
      <c r="F635">
        <v>45724.00111692449</v>
      </c>
    </row>
    <row r="636" spans="1:6" x14ac:dyDescent="0.25">
      <c r="A636" t="s">
        <v>152</v>
      </c>
      <c r="B636" t="s">
        <v>8</v>
      </c>
      <c r="C636" t="s">
        <v>27</v>
      </c>
      <c r="D636" t="s">
        <v>54</v>
      </c>
      <c r="E636">
        <v>2050</v>
      </c>
      <c r="F636">
        <v>5234226.1839023503</v>
      </c>
    </row>
    <row r="637" spans="1:6" x14ac:dyDescent="0.25">
      <c r="A637" t="s">
        <v>152</v>
      </c>
      <c r="B637" t="s">
        <v>8</v>
      </c>
      <c r="C637" t="s">
        <v>27</v>
      </c>
      <c r="D637" t="s">
        <v>53</v>
      </c>
      <c r="E637">
        <v>2050</v>
      </c>
      <c r="F637">
        <v>4070795.253083135</v>
      </c>
    </row>
    <row r="638" spans="1:6" x14ac:dyDescent="0.25">
      <c r="A638" t="s">
        <v>152</v>
      </c>
      <c r="B638" t="s">
        <v>8</v>
      </c>
      <c r="C638" t="s">
        <v>27</v>
      </c>
      <c r="D638" t="s">
        <v>57</v>
      </c>
      <c r="E638">
        <v>2050</v>
      </c>
      <c r="F638">
        <v>186000.82014059028</v>
      </c>
    </row>
    <row r="639" spans="1:6" x14ac:dyDescent="0.25">
      <c r="A639" t="s">
        <v>152</v>
      </c>
      <c r="B639" t="s">
        <v>8</v>
      </c>
      <c r="C639" t="s">
        <v>27</v>
      </c>
      <c r="D639" t="s">
        <v>35</v>
      </c>
      <c r="E639">
        <v>2050</v>
      </c>
      <c r="F639">
        <v>68954.894249757344</v>
      </c>
    </row>
    <row r="640" spans="1:6" x14ac:dyDescent="0.25">
      <c r="A640" t="s">
        <v>152</v>
      </c>
      <c r="B640" t="s">
        <v>8</v>
      </c>
      <c r="C640" t="s">
        <v>27</v>
      </c>
      <c r="D640" t="s">
        <v>34</v>
      </c>
      <c r="E640">
        <v>2050</v>
      </c>
      <c r="F640">
        <v>166274.21308452127</v>
      </c>
    </row>
    <row r="641" spans="1:6" x14ac:dyDescent="0.25">
      <c r="A641" t="s">
        <v>152</v>
      </c>
      <c r="B641" t="s">
        <v>8</v>
      </c>
      <c r="C641" t="s">
        <v>27</v>
      </c>
      <c r="D641" t="s">
        <v>52</v>
      </c>
      <c r="E641">
        <v>2050</v>
      </c>
      <c r="F641">
        <v>8458034.0365568101</v>
      </c>
    </row>
    <row r="642" spans="1:6" x14ac:dyDescent="0.25">
      <c r="A642" t="s">
        <v>152</v>
      </c>
      <c r="B642" t="s">
        <v>8</v>
      </c>
      <c r="C642" t="s">
        <v>27</v>
      </c>
      <c r="D642" t="s">
        <v>58</v>
      </c>
      <c r="E642">
        <v>2050</v>
      </c>
      <c r="F642">
        <v>973456.97089571541</v>
      </c>
    </row>
    <row r="643" spans="1:6" x14ac:dyDescent="0.25">
      <c r="A643" t="s">
        <v>152</v>
      </c>
      <c r="B643" t="s">
        <v>8</v>
      </c>
      <c r="C643" t="s">
        <v>27</v>
      </c>
      <c r="D643" t="s">
        <v>59</v>
      </c>
      <c r="E643">
        <v>2050</v>
      </c>
      <c r="F643">
        <v>909295.30878800887</v>
      </c>
    </row>
    <row r="644" spans="1:6" x14ac:dyDescent="0.25">
      <c r="A644" t="s">
        <v>152</v>
      </c>
      <c r="B644" t="s">
        <v>8</v>
      </c>
      <c r="C644" t="s">
        <v>27</v>
      </c>
      <c r="D644" t="s">
        <v>60</v>
      </c>
      <c r="E644">
        <v>2050</v>
      </c>
      <c r="F644">
        <v>443317.28375843994</v>
      </c>
    </row>
    <row r="645" spans="1:6" x14ac:dyDescent="0.25">
      <c r="A645" t="s">
        <v>152</v>
      </c>
      <c r="B645" t="s">
        <v>8</v>
      </c>
      <c r="C645" t="s">
        <v>27</v>
      </c>
      <c r="D645" t="s">
        <v>61</v>
      </c>
      <c r="E645">
        <v>2050</v>
      </c>
      <c r="F645">
        <v>34101.329519879997</v>
      </c>
    </row>
    <row r="646" spans="1:6" x14ac:dyDescent="0.25">
      <c r="A646" t="s">
        <v>152</v>
      </c>
      <c r="B646" t="s">
        <v>8</v>
      </c>
      <c r="C646" t="s">
        <v>27</v>
      </c>
      <c r="D646" t="s">
        <v>62</v>
      </c>
      <c r="E646">
        <v>2050</v>
      </c>
      <c r="F646">
        <v>0</v>
      </c>
    </row>
    <row r="647" spans="1:6" x14ac:dyDescent="0.25">
      <c r="A647" t="s">
        <v>152</v>
      </c>
      <c r="B647" t="s">
        <v>8</v>
      </c>
      <c r="C647" t="s">
        <v>42</v>
      </c>
      <c r="D647" t="s">
        <v>28</v>
      </c>
      <c r="E647">
        <v>2019</v>
      </c>
      <c r="F647">
        <v>721621.60770550335</v>
      </c>
    </row>
    <row r="648" spans="1:6" x14ac:dyDescent="0.25">
      <c r="A648" t="s">
        <v>152</v>
      </c>
      <c r="B648" t="s">
        <v>8</v>
      </c>
      <c r="C648" t="s">
        <v>42</v>
      </c>
      <c r="D648" t="s">
        <v>51</v>
      </c>
      <c r="E648">
        <v>2019</v>
      </c>
      <c r="F648">
        <v>94889.448034412548</v>
      </c>
    </row>
    <row r="649" spans="1:6" x14ac:dyDescent="0.25">
      <c r="A649" t="s">
        <v>152</v>
      </c>
      <c r="B649" t="s">
        <v>8</v>
      </c>
      <c r="C649" t="s">
        <v>42</v>
      </c>
      <c r="D649" t="s">
        <v>30</v>
      </c>
      <c r="E649">
        <v>2019</v>
      </c>
      <c r="F649">
        <v>0</v>
      </c>
    </row>
    <row r="650" spans="1:6" x14ac:dyDescent="0.25">
      <c r="A650" t="s">
        <v>152</v>
      </c>
      <c r="B650" t="s">
        <v>8</v>
      </c>
      <c r="C650" t="s">
        <v>42</v>
      </c>
      <c r="D650" t="s">
        <v>33</v>
      </c>
      <c r="E650">
        <v>2019</v>
      </c>
      <c r="F650">
        <v>7916.616753740097</v>
      </c>
    </row>
    <row r="651" spans="1:6" x14ac:dyDescent="0.25">
      <c r="A651" t="s">
        <v>152</v>
      </c>
      <c r="B651" t="s">
        <v>8</v>
      </c>
      <c r="C651" t="s">
        <v>42</v>
      </c>
      <c r="D651" t="s">
        <v>54</v>
      </c>
      <c r="E651">
        <v>2019</v>
      </c>
      <c r="F651">
        <v>103245.87683002709</v>
      </c>
    </row>
    <row r="652" spans="1:6" x14ac:dyDescent="0.25">
      <c r="A652" t="s">
        <v>152</v>
      </c>
      <c r="B652" t="s">
        <v>8</v>
      </c>
      <c r="C652" t="s">
        <v>42</v>
      </c>
      <c r="D652" t="s">
        <v>53</v>
      </c>
      <c r="E652">
        <v>2019</v>
      </c>
      <c r="F652">
        <v>694353.2611092875</v>
      </c>
    </row>
    <row r="653" spans="1:6" x14ac:dyDescent="0.25">
      <c r="A653" t="s">
        <v>152</v>
      </c>
      <c r="B653" t="s">
        <v>8</v>
      </c>
      <c r="C653" t="s">
        <v>42</v>
      </c>
      <c r="D653" t="s">
        <v>57</v>
      </c>
      <c r="E653">
        <v>2019</v>
      </c>
      <c r="F653">
        <v>26278.769501998373</v>
      </c>
    </row>
    <row r="654" spans="1:6" x14ac:dyDescent="0.25">
      <c r="A654" t="s">
        <v>152</v>
      </c>
      <c r="B654" t="s">
        <v>8</v>
      </c>
      <c r="C654" t="s">
        <v>42</v>
      </c>
      <c r="D654" t="s">
        <v>35</v>
      </c>
      <c r="E654">
        <v>2019</v>
      </c>
      <c r="F654">
        <v>0</v>
      </c>
    </row>
    <row r="655" spans="1:6" x14ac:dyDescent="0.25">
      <c r="A655" t="s">
        <v>152</v>
      </c>
      <c r="B655" t="s">
        <v>8</v>
      </c>
      <c r="C655" t="s">
        <v>42</v>
      </c>
      <c r="D655" t="s">
        <v>34</v>
      </c>
      <c r="E655">
        <v>2019</v>
      </c>
      <c r="F655">
        <v>0</v>
      </c>
    </row>
    <row r="656" spans="1:6" x14ac:dyDescent="0.25">
      <c r="A656" t="s">
        <v>152</v>
      </c>
      <c r="B656" t="s">
        <v>8</v>
      </c>
      <c r="C656" t="s">
        <v>42</v>
      </c>
      <c r="D656" t="s">
        <v>52</v>
      </c>
      <c r="E656">
        <v>2019</v>
      </c>
      <c r="F656">
        <v>1502068.0760117143</v>
      </c>
    </row>
    <row r="657" spans="1:6" x14ac:dyDescent="0.25">
      <c r="A657" t="s">
        <v>152</v>
      </c>
      <c r="B657" t="s">
        <v>8</v>
      </c>
      <c r="C657" t="s">
        <v>42</v>
      </c>
      <c r="D657" t="s">
        <v>58</v>
      </c>
      <c r="E657">
        <v>2019</v>
      </c>
      <c r="F657">
        <v>186040.49371289223</v>
      </c>
    </row>
    <row r="658" spans="1:6" x14ac:dyDescent="0.25">
      <c r="A658" t="s">
        <v>152</v>
      </c>
      <c r="B658" t="s">
        <v>8</v>
      </c>
      <c r="C658" t="s">
        <v>42</v>
      </c>
      <c r="D658" t="s">
        <v>59</v>
      </c>
      <c r="E658">
        <v>2019</v>
      </c>
      <c r="F658">
        <v>0</v>
      </c>
    </row>
    <row r="659" spans="1:6" x14ac:dyDescent="0.25">
      <c r="A659" t="s">
        <v>152</v>
      </c>
      <c r="B659" t="s">
        <v>8</v>
      </c>
      <c r="C659" t="s">
        <v>42</v>
      </c>
      <c r="D659" t="s">
        <v>60</v>
      </c>
      <c r="E659">
        <v>2019</v>
      </c>
      <c r="F659">
        <v>0</v>
      </c>
    </row>
    <row r="660" spans="1:6" x14ac:dyDescent="0.25">
      <c r="A660" t="s">
        <v>152</v>
      </c>
      <c r="B660" t="s">
        <v>8</v>
      </c>
      <c r="C660" t="s">
        <v>42</v>
      </c>
      <c r="D660" t="s">
        <v>61</v>
      </c>
      <c r="E660">
        <v>2019</v>
      </c>
      <c r="F660">
        <v>4837.9324606189475</v>
      </c>
    </row>
    <row r="661" spans="1:6" x14ac:dyDescent="0.25">
      <c r="A661" t="s">
        <v>152</v>
      </c>
      <c r="B661" t="s">
        <v>8</v>
      </c>
      <c r="C661" t="s">
        <v>42</v>
      </c>
      <c r="D661" t="s">
        <v>62</v>
      </c>
      <c r="E661">
        <v>2019</v>
      </c>
      <c r="F661">
        <v>592646.72642582108</v>
      </c>
    </row>
    <row r="662" spans="1:6" x14ac:dyDescent="0.25">
      <c r="A662" t="s">
        <v>152</v>
      </c>
      <c r="B662" t="s">
        <v>8</v>
      </c>
      <c r="C662" t="s">
        <v>42</v>
      </c>
      <c r="D662" t="s">
        <v>28</v>
      </c>
      <c r="E662">
        <v>2030</v>
      </c>
      <c r="F662">
        <v>615661.50663535297</v>
      </c>
    </row>
    <row r="663" spans="1:6" x14ac:dyDescent="0.25">
      <c r="A663" t="s">
        <v>152</v>
      </c>
      <c r="B663" t="s">
        <v>8</v>
      </c>
      <c r="C663" t="s">
        <v>42</v>
      </c>
      <c r="D663" t="s">
        <v>51</v>
      </c>
      <c r="E663">
        <v>2030</v>
      </c>
      <c r="F663">
        <v>72885.308357843693</v>
      </c>
    </row>
    <row r="664" spans="1:6" x14ac:dyDescent="0.25">
      <c r="A664" t="s">
        <v>152</v>
      </c>
      <c r="B664" t="s">
        <v>8</v>
      </c>
      <c r="C664" t="s">
        <v>42</v>
      </c>
      <c r="D664" t="s">
        <v>30</v>
      </c>
      <c r="E664">
        <v>2030</v>
      </c>
      <c r="F664">
        <v>0</v>
      </c>
    </row>
    <row r="665" spans="1:6" x14ac:dyDescent="0.25">
      <c r="A665" t="s">
        <v>152</v>
      </c>
      <c r="B665" t="s">
        <v>8</v>
      </c>
      <c r="C665" t="s">
        <v>42</v>
      </c>
      <c r="D665" t="s">
        <v>33</v>
      </c>
      <c r="E665">
        <v>2030</v>
      </c>
      <c r="F665">
        <v>6753.2568750969058</v>
      </c>
    </row>
    <row r="666" spans="1:6" x14ac:dyDescent="0.25">
      <c r="A666" t="s">
        <v>152</v>
      </c>
      <c r="B666" t="s">
        <v>8</v>
      </c>
      <c r="C666" t="s">
        <v>42</v>
      </c>
      <c r="D666" t="s">
        <v>54</v>
      </c>
      <c r="E666">
        <v>2030</v>
      </c>
      <c r="F666">
        <v>190994.95568667154</v>
      </c>
    </row>
    <row r="667" spans="1:6" x14ac:dyDescent="0.25">
      <c r="A667" t="s">
        <v>152</v>
      </c>
      <c r="B667" t="s">
        <v>8</v>
      </c>
      <c r="C667" t="s">
        <v>42</v>
      </c>
      <c r="D667" t="s">
        <v>53</v>
      </c>
      <c r="E667">
        <v>2030</v>
      </c>
      <c r="F667">
        <v>601240.60358794441</v>
      </c>
    </row>
    <row r="668" spans="1:6" x14ac:dyDescent="0.25">
      <c r="A668" t="s">
        <v>152</v>
      </c>
      <c r="B668" t="s">
        <v>8</v>
      </c>
      <c r="C668" t="s">
        <v>42</v>
      </c>
      <c r="D668" t="s">
        <v>57</v>
      </c>
      <c r="E668">
        <v>2030</v>
      </c>
      <c r="F668">
        <v>27471.596682363863</v>
      </c>
    </row>
    <row r="669" spans="1:6" x14ac:dyDescent="0.25">
      <c r="A669" t="s">
        <v>152</v>
      </c>
      <c r="B669" t="s">
        <v>8</v>
      </c>
      <c r="C669" t="s">
        <v>42</v>
      </c>
      <c r="D669" t="s">
        <v>35</v>
      </c>
      <c r="E669">
        <v>2030</v>
      </c>
      <c r="F669">
        <v>10184.369309084559</v>
      </c>
    </row>
    <row r="670" spans="1:6" x14ac:dyDescent="0.25">
      <c r="A670" t="s">
        <v>152</v>
      </c>
      <c r="B670" t="s">
        <v>8</v>
      </c>
      <c r="C670" t="s">
        <v>42</v>
      </c>
      <c r="D670" t="s">
        <v>34</v>
      </c>
      <c r="E670">
        <v>2030</v>
      </c>
      <c r="F670">
        <v>14734.832191867023</v>
      </c>
    </row>
    <row r="671" spans="1:6" x14ac:dyDescent="0.25">
      <c r="A671" t="s">
        <v>152</v>
      </c>
      <c r="B671" t="s">
        <v>8</v>
      </c>
      <c r="C671" t="s">
        <v>42</v>
      </c>
      <c r="D671" t="s">
        <v>52</v>
      </c>
      <c r="E671">
        <v>2030</v>
      </c>
      <c r="F671">
        <v>1249218.6841023962</v>
      </c>
    </row>
    <row r="672" spans="1:6" x14ac:dyDescent="0.25">
      <c r="A672" t="s">
        <v>152</v>
      </c>
      <c r="B672" t="s">
        <v>8</v>
      </c>
      <c r="C672" t="s">
        <v>42</v>
      </c>
      <c r="D672" t="s">
        <v>58</v>
      </c>
      <c r="E672">
        <v>2030</v>
      </c>
      <c r="F672">
        <v>143775.80309521878</v>
      </c>
    </row>
    <row r="673" spans="1:6" x14ac:dyDescent="0.25">
      <c r="A673" t="s">
        <v>152</v>
      </c>
      <c r="B673" t="s">
        <v>8</v>
      </c>
      <c r="C673" t="s">
        <v>42</v>
      </c>
      <c r="D673" t="s">
        <v>59</v>
      </c>
      <c r="E673">
        <v>2030</v>
      </c>
      <c r="F673">
        <v>85056.271152794114</v>
      </c>
    </row>
    <row r="674" spans="1:6" x14ac:dyDescent="0.25">
      <c r="A674" t="s">
        <v>152</v>
      </c>
      <c r="B674" t="s">
        <v>8</v>
      </c>
      <c r="C674" t="s">
        <v>42</v>
      </c>
      <c r="D674" t="s">
        <v>60</v>
      </c>
      <c r="E674">
        <v>2030</v>
      </c>
      <c r="F674">
        <v>40293.068393760004</v>
      </c>
    </row>
    <row r="675" spans="1:6" x14ac:dyDescent="0.25">
      <c r="A675" t="s">
        <v>152</v>
      </c>
      <c r="B675" t="s">
        <v>8</v>
      </c>
      <c r="C675" t="s">
        <v>42</v>
      </c>
      <c r="D675" t="s">
        <v>61</v>
      </c>
      <c r="E675">
        <v>2030</v>
      </c>
      <c r="F675">
        <v>4532.970194298</v>
      </c>
    </row>
    <row r="676" spans="1:6" x14ac:dyDescent="0.25">
      <c r="A676" t="s">
        <v>152</v>
      </c>
      <c r="B676" t="s">
        <v>8</v>
      </c>
      <c r="C676" t="s">
        <v>42</v>
      </c>
      <c r="D676" t="s">
        <v>62</v>
      </c>
      <c r="E676">
        <v>2030</v>
      </c>
      <c r="F676">
        <v>253448.52986846305</v>
      </c>
    </row>
    <row r="677" spans="1:6" x14ac:dyDescent="0.25">
      <c r="A677" t="s">
        <v>152</v>
      </c>
      <c r="B677" t="s">
        <v>8</v>
      </c>
      <c r="C677" t="s">
        <v>42</v>
      </c>
      <c r="D677" t="s">
        <v>28</v>
      </c>
      <c r="E677">
        <v>2050</v>
      </c>
      <c r="F677">
        <v>509603.65797187964</v>
      </c>
    </row>
    <row r="678" spans="1:6" x14ac:dyDescent="0.25">
      <c r="A678" t="s">
        <v>152</v>
      </c>
      <c r="B678" t="s">
        <v>8</v>
      </c>
      <c r="C678" t="s">
        <v>42</v>
      </c>
      <c r="D678" t="s">
        <v>51</v>
      </c>
      <c r="E678">
        <v>2050</v>
      </c>
      <c r="F678">
        <v>60329.611891042863</v>
      </c>
    </row>
    <row r="679" spans="1:6" x14ac:dyDescent="0.25">
      <c r="A679" t="s">
        <v>152</v>
      </c>
      <c r="B679" t="s">
        <v>8</v>
      </c>
      <c r="C679" t="s">
        <v>42</v>
      </c>
      <c r="D679" t="s">
        <v>30</v>
      </c>
      <c r="E679">
        <v>2050</v>
      </c>
      <c r="F679">
        <v>0</v>
      </c>
    </row>
    <row r="680" spans="1:6" x14ac:dyDescent="0.25">
      <c r="A680" t="s">
        <v>152</v>
      </c>
      <c r="B680" t="s">
        <v>8</v>
      </c>
      <c r="C680" t="s">
        <v>42</v>
      </c>
      <c r="D680" t="s">
        <v>33</v>
      </c>
      <c r="E680">
        <v>2050</v>
      </c>
      <c r="F680">
        <v>5589.8969964537146</v>
      </c>
    </row>
    <row r="681" spans="1:6" x14ac:dyDescent="0.25">
      <c r="A681" t="s">
        <v>152</v>
      </c>
      <c r="B681" t="s">
        <v>8</v>
      </c>
      <c r="C681" t="s">
        <v>42</v>
      </c>
      <c r="D681" t="s">
        <v>54</v>
      </c>
      <c r="E681">
        <v>2050</v>
      </c>
      <c r="F681">
        <v>639899.9324082589</v>
      </c>
    </row>
    <row r="682" spans="1:6" x14ac:dyDescent="0.25">
      <c r="A682" t="s">
        <v>152</v>
      </c>
      <c r="B682" t="s">
        <v>8</v>
      </c>
      <c r="C682" t="s">
        <v>42</v>
      </c>
      <c r="D682" t="s">
        <v>53</v>
      </c>
      <c r="E682">
        <v>2050</v>
      </c>
      <c r="F682">
        <v>497666.99331928522</v>
      </c>
    </row>
    <row r="683" spans="1:6" x14ac:dyDescent="0.25">
      <c r="A683" t="s">
        <v>152</v>
      </c>
      <c r="B683" t="s">
        <v>8</v>
      </c>
      <c r="C683" t="s">
        <v>42</v>
      </c>
      <c r="D683" t="s">
        <v>57</v>
      </c>
      <c r="E683">
        <v>2050</v>
      </c>
      <c r="F683">
        <v>22739.161062984149</v>
      </c>
    </row>
    <row r="684" spans="1:6" x14ac:dyDescent="0.25">
      <c r="A684" t="s">
        <v>152</v>
      </c>
      <c r="B684" t="s">
        <v>8</v>
      </c>
      <c r="C684" t="s">
        <v>42</v>
      </c>
      <c r="D684" t="s">
        <v>35</v>
      </c>
      <c r="E684">
        <v>2050</v>
      </c>
      <c r="F684">
        <v>8429.9437241249998</v>
      </c>
    </row>
    <row r="685" spans="1:6" x14ac:dyDescent="0.25">
      <c r="A685" t="s">
        <v>152</v>
      </c>
      <c r="B685" t="s">
        <v>8</v>
      </c>
      <c r="C685" t="s">
        <v>42</v>
      </c>
      <c r="D685" t="s">
        <v>34</v>
      </c>
      <c r="E685">
        <v>2050</v>
      </c>
      <c r="F685">
        <v>20327.523873776598</v>
      </c>
    </row>
    <row r="686" spans="1:6" x14ac:dyDescent="0.25">
      <c r="A686" t="s">
        <v>152</v>
      </c>
      <c r="B686" t="s">
        <v>8</v>
      </c>
      <c r="C686" t="s">
        <v>42</v>
      </c>
      <c r="D686" t="s">
        <v>52</v>
      </c>
      <c r="E686">
        <v>2050</v>
      </c>
      <c r="F686">
        <v>1034020.1623202205</v>
      </c>
    </row>
    <row r="687" spans="1:6" x14ac:dyDescent="0.25">
      <c r="A687" t="s">
        <v>152</v>
      </c>
      <c r="B687" t="s">
        <v>8</v>
      </c>
      <c r="C687" t="s">
        <v>42</v>
      </c>
      <c r="D687" t="s">
        <v>58</v>
      </c>
      <c r="E687">
        <v>2050</v>
      </c>
      <c r="F687">
        <v>119008.04970833447</v>
      </c>
    </row>
    <row r="688" spans="1:6" x14ac:dyDescent="0.25">
      <c r="A688" t="s">
        <v>152</v>
      </c>
      <c r="B688" t="s">
        <v>8</v>
      </c>
      <c r="C688" t="s">
        <v>42</v>
      </c>
      <c r="D688" t="s">
        <v>59</v>
      </c>
      <c r="E688">
        <v>2050</v>
      </c>
      <c r="F688">
        <v>111164.09306538459</v>
      </c>
    </row>
    <row r="689" spans="1:6" x14ac:dyDescent="0.25">
      <c r="A689" t="s">
        <v>152</v>
      </c>
      <c r="B689" t="s">
        <v>8</v>
      </c>
      <c r="C689" t="s">
        <v>42</v>
      </c>
      <c r="D689" t="s">
        <v>60</v>
      </c>
      <c r="E689">
        <v>2050</v>
      </c>
      <c r="F689">
        <v>54196.874560919998</v>
      </c>
    </row>
    <row r="690" spans="1:6" x14ac:dyDescent="0.25">
      <c r="A690" t="s">
        <v>152</v>
      </c>
      <c r="B690" t="s">
        <v>8</v>
      </c>
      <c r="C690" t="s">
        <v>42</v>
      </c>
      <c r="D690" t="s">
        <v>61</v>
      </c>
      <c r="E690">
        <v>2050</v>
      </c>
      <c r="F690">
        <v>4168.9903508399993</v>
      </c>
    </row>
    <row r="691" spans="1:6" x14ac:dyDescent="0.25">
      <c r="A691" t="s">
        <v>152</v>
      </c>
      <c r="B691" t="s">
        <v>8</v>
      </c>
      <c r="C691" t="s">
        <v>42</v>
      </c>
      <c r="D691" t="s">
        <v>62</v>
      </c>
      <c r="E691">
        <v>2050</v>
      </c>
      <c r="F691">
        <v>0</v>
      </c>
    </row>
    <row r="692" spans="1:6" x14ac:dyDescent="0.25">
      <c r="A692" t="s">
        <v>152</v>
      </c>
      <c r="B692" t="s">
        <v>13</v>
      </c>
      <c r="C692" t="s">
        <v>27</v>
      </c>
      <c r="D692" t="s">
        <v>51</v>
      </c>
      <c r="E692">
        <v>2019</v>
      </c>
      <c r="F692">
        <v>1159590.3134327475</v>
      </c>
    </row>
    <row r="693" spans="1:6" x14ac:dyDescent="0.25">
      <c r="A693" t="s">
        <v>152</v>
      </c>
      <c r="B693" t="s">
        <v>13</v>
      </c>
      <c r="C693" t="s">
        <v>27</v>
      </c>
      <c r="D693" t="s">
        <v>63</v>
      </c>
      <c r="E693">
        <v>2019</v>
      </c>
      <c r="F693">
        <v>80676.325166481722</v>
      </c>
    </row>
    <row r="694" spans="1:6" x14ac:dyDescent="0.25">
      <c r="A694" t="s">
        <v>152</v>
      </c>
      <c r="B694" t="s">
        <v>13</v>
      </c>
      <c r="C694" t="s">
        <v>27</v>
      </c>
      <c r="D694" t="s">
        <v>64</v>
      </c>
      <c r="E694">
        <v>2019</v>
      </c>
      <c r="F694">
        <v>172205.06744997756</v>
      </c>
    </row>
    <row r="695" spans="1:6" x14ac:dyDescent="0.25">
      <c r="A695" t="s">
        <v>152</v>
      </c>
      <c r="B695" t="s">
        <v>13</v>
      </c>
      <c r="C695" t="s">
        <v>27</v>
      </c>
      <c r="D695" t="s">
        <v>65</v>
      </c>
      <c r="E695">
        <v>2019</v>
      </c>
      <c r="F695">
        <v>2328635.6388303456</v>
      </c>
    </row>
    <row r="696" spans="1:6" x14ac:dyDescent="0.25">
      <c r="A696" t="s">
        <v>152</v>
      </c>
      <c r="B696" t="s">
        <v>13</v>
      </c>
      <c r="C696" t="s">
        <v>27</v>
      </c>
      <c r="D696" t="s">
        <v>55</v>
      </c>
      <c r="E696">
        <v>2019</v>
      </c>
      <c r="F696">
        <v>530420.38785042788</v>
      </c>
    </row>
    <row r="697" spans="1:6" x14ac:dyDescent="0.25">
      <c r="A697" t="s">
        <v>152</v>
      </c>
      <c r="B697" t="s">
        <v>13</v>
      </c>
      <c r="C697" t="s">
        <v>27</v>
      </c>
      <c r="D697" t="s">
        <v>47</v>
      </c>
      <c r="E697">
        <v>2019</v>
      </c>
      <c r="F697">
        <v>0</v>
      </c>
    </row>
    <row r="698" spans="1:6" x14ac:dyDescent="0.25">
      <c r="A698" t="s">
        <v>152</v>
      </c>
      <c r="B698" t="s">
        <v>66</v>
      </c>
      <c r="C698" t="s">
        <v>27</v>
      </c>
      <c r="D698" t="s">
        <v>51</v>
      </c>
      <c r="E698">
        <v>2019</v>
      </c>
      <c r="F698">
        <v>0</v>
      </c>
    </row>
    <row r="699" spans="1:6" x14ac:dyDescent="0.25">
      <c r="A699" t="s">
        <v>152</v>
      </c>
      <c r="B699" t="s">
        <v>66</v>
      </c>
      <c r="C699" t="s">
        <v>27</v>
      </c>
      <c r="D699" t="s">
        <v>63</v>
      </c>
      <c r="E699">
        <v>2019</v>
      </c>
      <c r="F699">
        <v>74470.453999829275</v>
      </c>
    </row>
    <row r="700" spans="1:6" x14ac:dyDescent="0.25">
      <c r="A700" t="s">
        <v>152</v>
      </c>
      <c r="B700" t="s">
        <v>66</v>
      </c>
      <c r="C700" t="s">
        <v>27</v>
      </c>
      <c r="D700" t="s">
        <v>64</v>
      </c>
      <c r="E700">
        <v>2019</v>
      </c>
      <c r="F700">
        <v>0</v>
      </c>
    </row>
    <row r="701" spans="1:6" x14ac:dyDescent="0.25">
      <c r="A701" t="s">
        <v>152</v>
      </c>
      <c r="B701" t="s">
        <v>66</v>
      </c>
      <c r="C701" t="s">
        <v>27</v>
      </c>
      <c r="D701" t="s">
        <v>84</v>
      </c>
      <c r="E701">
        <v>2019</v>
      </c>
      <c r="F701">
        <v>640280.13059892249</v>
      </c>
    </row>
    <row r="702" spans="1:6" x14ac:dyDescent="0.25">
      <c r="A702" t="s">
        <v>152</v>
      </c>
      <c r="B702" t="s">
        <v>66</v>
      </c>
      <c r="C702" t="s">
        <v>27</v>
      </c>
      <c r="D702" t="s">
        <v>55</v>
      </c>
      <c r="E702">
        <v>2019</v>
      </c>
      <c r="F702">
        <v>0</v>
      </c>
    </row>
    <row r="703" spans="1:6" x14ac:dyDescent="0.25">
      <c r="A703" t="s">
        <v>152</v>
      </c>
      <c r="B703" t="s">
        <v>66</v>
      </c>
      <c r="C703" t="s">
        <v>27</v>
      </c>
      <c r="D703" t="s">
        <v>47</v>
      </c>
      <c r="E703">
        <v>2019</v>
      </c>
      <c r="F703">
        <v>0</v>
      </c>
    </row>
    <row r="704" spans="1:6" x14ac:dyDescent="0.25">
      <c r="A704" t="s">
        <v>152</v>
      </c>
      <c r="B704" t="s">
        <v>13</v>
      </c>
      <c r="C704" t="s">
        <v>42</v>
      </c>
      <c r="D704" t="s">
        <v>51</v>
      </c>
      <c r="E704">
        <v>2019</v>
      </c>
      <c r="F704">
        <v>734174.89910281403</v>
      </c>
    </row>
    <row r="705" spans="1:6" x14ac:dyDescent="0.25">
      <c r="A705" t="s">
        <v>152</v>
      </c>
      <c r="B705" t="s">
        <v>13</v>
      </c>
      <c r="C705" t="s">
        <v>42</v>
      </c>
      <c r="D705" t="s">
        <v>63</v>
      </c>
      <c r="E705">
        <v>2019</v>
      </c>
      <c r="F705">
        <v>32210.735628649098</v>
      </c>
    </row>
    <row r="706" spans="1:6" x14ac:dyDescent="0.25">
      <c r="A706" t="s">
        <v>152</v>
      </c>
      <c r="B706" t="s">
        <v>13</v>
      </c>
      <c r="C706" t="s">
        <v>42</v>
      </c>
      <c r="D706" t="s">
        <v>64</v>
      </c>
      <c r="E706">
        <v>2019</v>
      </c>
      <c r="F706">
        <v>37577.319945022478</v>
      </c>
    </row>
    <row r="707" spans="1:6" x14ac:dyDescent="0.25">
      <c r="A707" t="s">
        <v>152</v>
      </c>
      <c r="B707" t="s">
        <v>13</v>
      </c>
      <c r="C707" t="s">
        <v>42</v>
      </c>
      <c r="D707" t="s">
        <v>65</v>
      </c>
      <c r="E707">
        <v>2019</v>
      </c>
      <c r="F707">
        <v>681602.85349434032</v>
      </c>
    </row>
    <row r="708" spans="1:6" x14ac:dyDescent="0.25">
      <c r="A708" t="s">
        <v>152</v>
      </c>
      <c r="B708" t="s">
        <v>13</v>
      </c>
      <c r="C708" t="s">
        <v>42</v>
      </c>
      <c r="D708" t="s">
        <v>55</v>
      </c>
      <c r="E708">
        <v>2019</v>
      </c>
      <c r="F708">
        <v>452310.61214957217</v>
      </c>
    </row>
    <row r="709" spans="1:6" x14ac:dyDescent="0.25">
      <c r="A709" t="s">
        <v>152</v>
      </c>
      <c r="B709" t="s">
        <v>13</v>
      </c>
      <c r="C709" t="s">
        <v>42</v>
      </c>
      <c r="D709" t="s">
        <v>47</v>
      </c>
      <c r="E709">
        <v>2019</v>
      </c>
      <c r="F709">
        <v>0</v>
      </c>
    </row>
    <row r="710" spans="1:6" x14ac:dyDescent="0.25">
      <c r="A710" t="s">
        <v>152</v>
      </c>
      <c r="B710" t="s">
        <v>66</v>
      </c>
      <c r="C710" t="s">
        <v>42</v>
      </c>
      <c r="D710" t="s">
        <v>51</v>
      </c>
      <c r="E710">
        <v>2019</v>
      </c>
      <c r="F710">
        <v>0</v>
      </c>
    </row>
    <row r="711" spans="1:6" x14ac:dyDescent="0.25">
      <c r="A711" t="s">
        <v>152</v>
      </c>
      <c r="B711" t="s">
        <v>66</v>
      </c>
      <c r="C711" t="s">
        <v>42</v>
      </c>
      <c r="D711" t="s">
        <v>63</v>
      </c>
      <c r="E711">
        <v>2019</v>
      </c>
      <c r="F711">
        <v>29732.986734137623</v>
      </c>
    </row>
    <row r="712" spans="1:6" x14ac:dyDescent="0.25">
      <c r="A712" t="s">
        <v>152</v>
      </c>
      <c r="B712" t="s">
        <v>66</v>
      </c>
      <c r="C712" t="s">
        <v>42</v>
      </c>
      <c r="D712" t="s">
        <v>64</v>
      </c>
      <c r="E712">
        <v>2019</v>
      </c>
      <c r="F712">
        <v>0</v>
      </c>
    </row>
    <row r="713" spans="1:6" x14ac:dyDescent="0.25">
      <c r="A713" t="s">
        <v>152</v>
      </c>
      <c r="B713" t="s">
        <v>66</v>
      </c>
      <c r="C713" t="s">
        <v>42</v>
      </c>
      <c r="D713" t="s">
        <v>84</v>
      </c>
      <c r="E713">
        <v>2019</v>
      </c>
      <c r="F713">
        <v>187413.07432328182</v>
      </c>
    </row>
    <row r="714" spans="1:6" x14ac:dyDescent="0.25">
      <c r="A714" t="s">
        <v>152</v>
      </c>
      <c r="B714" t="s">
        <v>66</v>
      </c>
      <c r="C714" t="s">
        <v>42</v>
      </c>
      <c r="D714" t="s">
        <v>55</v>
      </c>
      <c r="E714">
        <v>2019</v>
      </c>
      <c r="F714">
        <v>0</v>
      </c>
    </row>
    <row r="715" spans="1:6" x14ac:dyDescent="0.25">
      <c r="A715" t="s">
        <v>152</v>
      </c>
      <c r="B715" t="s">
        <v>66</v>
      </c>
      <c r="C715" t="s">
        <v>42</v>
      </c>
      <c r="D715" t="s">
        <v>47</v>
      </c>
      <c r="E715">
        <v>2019</v>
      </c>
      <c r="F715">
        <v>0</v>
      </c>
    </row>
    <row r="716" spans="1:6" x14ac:dyDescent="0.25">
      <c r="A716" t="s">
        <v>152</v>
      </c>
      <c r="B716" t="s">
        <v>13</v>
      </c>
      <c r="C716" t="s">
        <v>27</v>
      </c>
      <c r="D716" t="s">
        <v>51</v>
      </c>
      <c r="E716">
        <v>2030</v>
      </c>
      <c r="F716">
        <v>155830.9394403426</v>
      </c>
    </row>
    <row r="717" spans="1:6" x14ac:dyDescent="0.25">
      <c r="A717" t="s">
        <v>152</v>
      </c>
      <c r="B717" t="s">
        <v>13</v>
      </c>
      <c r="C717" t="s">
        <v>27</v>
      </c>
      <c r="D717" t="s">
        <v>63</v>
      </c>
      <c r="E717">
        <v>2030</v>
      </c>
      <c r="F717">
        <v>147045.30922143915</v>
      </c>
    </row>
    <row r="718" spans="1:6" x14ac:dyDescent="0.25">
      <c r="A718" t="s">
        <v>152</v>
      </c>
      <c r="B718" t="s">
        <v>13</v>
      </c>
      <c r="C718" t="s">
        <v>27</v>
      </c>
      <c r="D718" t="s">
        <v>64</v>
      </c>
      <c r="E718">
        <v>2030</v>
      </c>
      <c r="F718">
        <v>128773.56913504434</v>
      </c>
    </row>
    <row r="719" spans="1:6" x14ac:dyDescent="0.25">
      <c r="A719" t="s">
        <v>152</v>
      </c>
      <c r="B719" t="s">
        <v>13</v>
      </c>
      <c r="C719" t="s">
        <v>27</v>
      </c>
      <c r="D719" t="s">
        <v>65</v>
      </c>
      <c r="E719">
        <v>2030</v>
      </c>
      <c r="F719">
        <v>2240617.6889087446</v>
      </c>
    </row>
    <row r="720" spans="1:6" x14ac:dyDescent="0.25">
      <c r="A720" t="s">
        <v>152</v>
      </c>
      <c r="B720" t="s">
        <v>13</v>
      </c>
      <c r="C720" t="s">
        <v>27</v>
      </c>
      <c r="D720" t="s">
        <v>55</v>
      </c>
      <c r="E720">
        <v>2030</v>
      </c>
      <c r="F720">
        <v>526734.10986839118</v>
      </c>
    </row>
    <row r="721" spans="1:6" x14ac:dyDescent="0.25">
      <c r="A721" t="s">
        <v>152</v>
      </c>
      <c r="B721" t="s">
        <v>13</v>
      </c>
      <c r="C721" t="s">
        <v>27</v>
      </c>
      <c r="D721" t="s">
        <v>47</v>
      </c>
      <c r="E721">
        <v>2030</v>
      </c>
      <c r="F721">
        <v>34297.95054478239</v>
      </c>
    </row>
    <row r="722" spans="1:6" x14ac:dyDescent="0.25">
      <c r="A722" t="s">
        <v>152</v>
      </c>
      <c r="B722" t="s">
        <v>66</v>
      </c>
      <c r="C722" t="s">
        <v>27</v>
      </c>
      <c r="D722" t="s">
        <v>51</v>
      </c>
      <c r="E722">
        <v>2030</v>
      </c>
      <c r="F722">
        <v>0</v>
      </c>
    </row>
    <row r="723" spans="1:6" x14ac:dyDescent="0.25">
      <c r="A723" t="s">
        <v>152</v>
      </c>
      <c r="B723" t="s">
        <v>66</v>
      </c>
      <c r="C723" t="s">
        <v>27</v>
      </c>
      <c r="D723" t="s">
        <v>63</v>
      </c>
      <c r="E723">
        <v>2030</v>
      </c>
      <c r="F723">
        <v>0</v>
      </c>
    </row>
    <row r="724" spans="1:6" x14ac:dyDescent="0.25">
      <c r="A724" t="s">
        <v>152</v>
      </c>
      <c r="B724" t="s">
        <v>66</v>
      </c>
      <c r="C724" t="s">
        <v>27</v>
      </c>
      <c r="D724" t="s">
        <v>64</v>
      </c>
      <c r="E724">
        <v>2030</v>
      </c>
      <c r="F724">
        <v>0</v>
      </c>
    </row>
    <row r="725" spans="1:6" x14ac:dyDescent="0.25">
      <c r="A725" t="s">
        <v>152</v>
      </c>
      <c r="B725" t="s">
        <v>66</v>
      </c>
      <c r="C725" t="s">
        <v>27</v>
      </c>
      <c r="D725" t="s">
        <v>84</v>
      </c>
      <c r="E725">
        <v>2030</v>
      </c>
      <c r="F725">
        <v>620213.6948885778</v>
      </c>
    </row>
    <row r="726" spans="1:6" x14ac:dyDescent="0.25">
      <c r="A726" t="s">
        <v>152</v>
      </c>
      <c r="B726" t="s">
        <v>66</v>
      </c>
      <c r="C726" t="s">
        <v>27</v>
      </c>
      <c r="D726" t="s">
        <v>55</v>
      </c>
      <c r="E726">
        <v>2030</v>
      </c>
      <c r="F726">
        <v>0</v>
      </c>
    </row>
    <row r="727" spans="1:6" x14ac:dyDescent="0.25">
      <c r="A727" t="s">
        <v>152</v>
      </c>
      <c r="B727" t="s">
        <v>66</v>
      </c>
      <c r="C727" t="s">
        <v>27</v>
      </c>
      <c r="D727" t="s">
        <v>47</v>
      </c>
      <c r="E727">
        <v>2030</v>
      </c>
      <c r="F727">
        <v>0</v>
      </c>
    </row>
    <row r="728" spans="1:6" x14ac:dyDescent="0.25">
      <c r="A728" t="s">
        <v>152</v>
      </c>
      <c r="B728" t="s">
        <v>13</v>
      </c>
      <c r="C728" t="s">
        <v>42</v>
      </c>
      <c r="D728" t="s">
        <v>51</v>
      </c>
      <c r="E728">
        <v>2030</v>
      </c>
      <c r="F728">
        <v>210381.07097966829</v>
      </c>
    </row>
    <row r="729" spans="1:6" x14ac:dyDescent="0.25">
      <c r="A729" t="s">
        <v>152</v>
      </c>
      <c r="B729" t="s">
        <v>13</v>
      </c>
      <c r="C729" t="s">
        <v>42</v>
      </c>
      <c r="D729" t="s">
        <v>63</v>
      </c>
      <c r="E729">
        <v>2030</v>
      </c>
      <c r="F729">
        <v>46533.957311032565</v>
      </c>
    </row>
    <row r="730" spans="1:6" x14ac:dyDescent="0.25">
      <c r="A730" t="s">
        <v>152</v>
      </c>
      <c r="B730" t="s">
        <v>13</v>
      </c>
      <c r="C730" t="s">
        <v>42</v>
      </c>
      <c r="D730" t="s">
        <v>64</v>
      </c>
      <c r="E730">
        <v>2030</v>
      </c>
      <c r="F730">
        <v>37498.079683485725</v>
      </c>
    </row>
    <row r="731" spans="1:6" x14ac:dyDescent="0.25">
      <c r="A731" t="s">
        <v>152</v>
      </c>
      <c r="B731" t="s">
        <v>13</v>
      </c>
      <c r="C731" t="s">
        <v>42</v>
      </c>
      <c r="D731" t="s">
        <v>65</v>
      </c>
      <c r="E731">
        <v>2030</v>
      </c>
      <c r="F731">
        <v>649813.31346796011</v>
      </c>
    </row>
    <row r="732" spans="1:6" x14ac:dyDescent="0.25">
      <c r="A732" t="s">
        <v>152</v>
      </c>
      <c r="B732" t="s">
        <v>13</v>
      </c>
      <c r="C732" t="s">
        <v>42</v>
      </c>
      <c r="D732" t="s">
        <v>55</v>
      </c>
      <c r="E732">
        <v>2030</v>
      </c>
      <c r="F732">
        <v>456074.89013160887</v>
      </c>
    </row>
    <row r="733" spans="1:6" x14ac:dyDescent="0.25">
      <c r="A733" t="s">
        <v>152</v>
      </c>
      <c r="B733" t="s">
        <v>13</v>
      </c>
      <c r="C733" t="s">
        <v>42</v>
      </c>
      <c r="D733" t="s">
        <v>47</v>
      </c>
      <c r="E733">
        <v>2030</v>
      </c>
      <c r="F733">
        <v>29697.021197961469</v>
      </c>
    </row>
    <row r="734" spans="1:6" x14ac:dyDescent="0.25">
      <c r="A734" t="s">
        <v>152</v>
      </c>
      <c r="B734" t="s">
        <v>66</v>
      </c>
      <c r="C734" t="s">
        <v>42</v>
      </c>
      <c r="D734" t="s">
        <v>51</v>
      </c>
      <c r="E734">
        <v>2030</v>
      </c>
      <c r="F734">
        <v>0</v>
      </c>
    </row>
    <row r="735" spans="1:6" x14ac:dyDescent="0.25">
      <c r="A735" t="s">
        <v>152</v>
      </c>
      <c r="B735" t="s">
        <v>66</v>
      </c>
      <c r="C735" t="s">
        <v>42</v>
      </c>
      <c r="D735" t="s">
        <v>63</v>
      </c>
      <c r="E735">
        <v>2030</v>
      </c>
      <c r="F735">
        <v>0</v>
      </c>
    </row>
    <row r="736" spans="1:6" x14ac:dyDescent="0.25">
      <c r="A736" t="s">
        <v>152</v>
      </c>
      <c r="B736" t="s">
        <v>66</v>
      </c>
      <c r="C736" t="s">
        <v>42</v>
      </c>
      <c r="D736" t="s">
        <v>64</v>
      </c>
      <c r="E736">
        <v>2030</v>
      </c>
      <c r="F736">
        <v>0</v>
      </c>
    </row>
    <row r="737" spans="1:6" x14ac:dyDescent="0.25">
      <c r="A737" t="s">
        <v>152</v>
      </c>
      <c r="B737" t="s">
        <v>66</v>
      </c>
      <c r="C737" t="s">
        <v>42</v>
      </c>
      <c r="D737" t="s">
        <v>84</v>
      </c>
      <c r="E737">
        <v>2030</v>
      </c>
      <c r="F737">
        <v>179207.31600123239</v>
      </c>
    </row>
    <row r="738" spans="1:6" x14ac:dyDescent="0.25">
      <c r="A738" t="s">
        <v>152</v>
      </c>
      <c r="B738" t="s">
        <v>66</v>
      </c>
      <c r="C738" t="s">
        <v>42</v>
      </c>
      <c r="D738" t="s">
        <v>55</v>
      </c>
      <c r="E738">
        <v>2030</v>
      </c>
      <c r="F738">
        <v>0</v>
      </c>
    </row>
    <row r="739" spans="1:6" x14ac:dyDescent="0.25">
      <c r="A739" t="s">
        <v>152</v>
      </c>
      <c r="B739" t="s">
        <v>66</v>
      </c>
      <c r="C739" t="s">
        <v>42</v>
      </c>
      <c r="D739" t="s">
        <v>47</v>
      </c>
      <c r="E739">
        <v>2030</v>
      </c>
      <c r="F739">
        <v>0</v>
      </c>
    </row>
    <row r="740" spans="1:6" x14ac:dyDescent="0.25">
      <c r="A740" t="s">
        <v>152</v>
      </c>
      <c r="B740" t="s">
        <v>13</v>
      </c>
      <c r="C740" t="s">
        <v>27</v>
      </c>
      <c r="D740" t="s">
        <v>51</v>
      </c>
      <c r="E740">
        <v>2050</v>
      </c>
      <c r="F740">
        <v>177716.15309934458</v>
      </c>
    </row>
    <row r="741" spans="1:6" x14ac:dyDescent="0.25">
      <c r="A741" t="s">
        <v>152</v>
      </c>
      <c r="B741" t="s">
        <v>13</v>
      </c>
      <c r="C741" t="s">
        <v>27</v>
      </c>
      <c r="D741" t="s">
        <v>63</v>
      </c>
      <c r="E741">
        <v>2050</v>
      </c>
      <c r="F741">
        <v>122896.91538592965</v>
      </c>
    </row>
    <row r="742" spans="1:6" x14ac:dyDescent="0.25">
      <c r="A742" t="s">
        <v>152</v>
      </c>
      <c r="B742" t="s">
        <v>13</v>
      </c>
      <c r="C742" t="s">
        <v>27</v>
      </c>
      <c r="D742" t="s">
        <v>64</v>
      </c>
      <c r="E742">
        <v>2050</v>
      </c>
      <c r="F742">
        <v>95433.971639593205</v>
      </c>
    </row>
    <row r="743" spans="1:6" x14ac:dyDescent="0.25">
      <c r="A743" t="s">
        <v>152</v>
      </c>
      <c r="B743" t="s">
        <v>13</v>
      </c>
      <c r="C743" t="s">
        <v>27</v>
      </c>
      <c r="D743" t="s">
        <v>65</v>
      </c>
      <c r="E743">
        <v>2050</v>
      </c>
      <c r="F743">
        <v>2556953.1681252313</v>
      </c>
    </row>
    <row r="744" spans="1:6" x14ac:dyDescent="0.25">
      <c r="A744" t="s">
        <v>152</v>
      </c>
      <c r="B744" t="s">
        <v>13</v>
      </c>
      <c r="C744" t="s">
        <v>27</v>
      </c>
      <c r="D744" t="s">
        <v>55</v>
      </c>
      <c r="E744">
        <v>2050</v>
      </c>
      <c r="F744">
        <v>524881.97503939818</v>
      </c>
    </row>
    <row r="745" spans="1:6" x14ac:dyDescent="0.25">
      <c r="A745" t="s">
        <v>152</v>
      </c>
      <c r="B745" t="s">
        <v>13</v>
      </c>
      <c r="C745" t="s">
        <v>27</v>
      </c>
      <c r="D745" t="s">
        <v>47</v>
      </c>
      <c r="E745">
        <v>2050</v>
      </c>
      <c r="F745">
        <v>37265.218904879293</v>
      </c>
    </row>
    <row r="746" spans="1:6" x14ac:dyDescent="0.25">
      <c r="A746" t="s">
        <v>152</v>
      </c>
      <c r="B746" t="s">
        <v>66</v>
      </c>
      <c r="C746" t="s">
        <v>27</v>
      </c>
      <c r="D746" t="s">
        <v>51</v>
      </c>
      <c r="E746">
        <v>2050</v>
      </c>
      <c r="F746">
        <v>0</v>
      </c>
    </row>
    <row r="747" spans="1:6" x14ac:dyDescent="0.25">
      <c r="A747" t="s">
        <v>152</v>
      </c>
      <c r="B747" t="s">
        <v>66</v>
      </c>
      <c r="C747" t="s">
        <v>27</v>
      </c>
      <c r="D747" t="s">
        <v>63</v>
      </c>
      <c r="E747">
        <v>2050</v>
      </c>
      <c r="F747">
        <v>0</v>
      </c>
    </row>
    <row r="748" spans="1:6" x14ac:dyDescent="0.25">
      <c r="A748" t="s">
        <v>152</v>
      </c>
      <c r="B748" t="s">
        <v>66</v>
      </c>
      <c r="C748" t="s">
        <v>27</v>
      </c>
      <c r="D748" t="s">
        <v>64</v>
      </c>
      <c r="E748">
        <v>2050</v>
      </c>
      <c r="F748">
        <v>0</v>
      </c>
    </row>
    <row r="749" spans="1:6" x14ac:dyDescent="0.25">
      <c r="A749" t="s">
        <v>152</v>
      </c>
      <c r="B749" t="s">
        <v>66</v>
      </c>
      <c r="C749" t="s">
        <v>27</v>
      </c>
      <c r="D749" t="s">
        <v>84</v>
      </c>
      <c r="E749">
        <v>2050</v>
      </c>
      <c r="F749">
        <v>784721.90493001346</v>
      </c>
    </row>
    <row r="750" spans="1:6" x14ac:dyDescent="0.25">
      <c r="A750" t="s">
        <v>152</v>
      </c>
      <c r="B750" t="s">
        <v>66</v>
      </c>
      <c r="C750" t="s">
        <v>27</v>
      </c>
      <c r="D750" t="s">
        <v>55</v>
      </c>
      <c r="E750">
        <v>2050</v>
      </c>
      <c r="F750">
        <v>0</v>
      </c>
    </row>
    <row r="751" spans="1:6" x14ac:dyDescent="0.25">
      <c r="A751" t="s">
        <v>152</v>
      </c>
      <c r="B751" t="s">
        <v>66</v>
      </c>
      <c r="C751" t="s">
        <v>27</v>
      </c>
      <c r="D751" t="s">
        <v>47</v>
      </c>
      <c r="E751">
        <v>2050</v>
      </c>
      <c r="F751">
        <v>0</v>
      </c>
    </row>
    <row r="752" spans="1:6" x14ac:dyDescent="0.25">
      <c r="A752" t="s">
        <v>152</v>
      </c>
      <c r="B752" t="s">
        <v>13</v>
      </c>
      <c r="C752" t="s">
        <v>42</v>
      </c>
      <c r="D752" t="s">
        <v>51</v>
      </c>
      <c r="E752">
        <v>2050</v>
      </c>
      <c r="F752">
        <v>221583.73273213021</v>
      </c>
    </row>
    <row r="753" spans="1:6" x14ac:dyDescent="0.25">
      <c r="A753" t="s">
        <v>152</v>
      </c>
      <c r="B753" t="s">
        <v>13</v>
      </c>
      <c r="C753" t="s">
        <v>42</v>
      </c>
      <c r="D753" t="s">
        <v>63</v>
      </c>
      <c r="E753">
        <v>2050</v>
      </c>
      <c r="F753">
        <v>43163.512581533374</v>
      </c>
    </row>
    <row r="754" spans="1:6" x14ac:dyDescent="0.25">
      <c r="A754" t="s">
        <v>152</v>
      </c>
      <c r="B754" t="s">
        <v>13</v>
      </c>
      <c r="C754" t="s">
        <v>42</v>
      </c>
      <c r="D754" t="s">
        <v>64</v>
      </c>
      <c r="E754">
        <v>2050</v>
      </c>
      <c r="F754">
        <v>33518.053912383963</v>
      </c>
    </row>
    <row r="755" spans="1:6" x14ac:dyDescent="0.25">
      <c r="A755" t="s">
        <v>152</v>
      </c>
      <c r="B755" t="s">
        <v>13</v>
      </c>
      <c r="C755" t="s">
        <v>42</v>
      </c>
      <c r="D755" t="s">
        <v>65</v>
      </c>
      <c r="E755">
        <v>2050</v>
      </c>
      <c r="F755">
        <v>669963.43113752501</v>
      </c>
    </row>
    <row r="756" spans="1:6" x14ac:dyDescent="0.25">
      <c r="A756" t="s">
        <v>152</v>
      </c>
      <c r="B756" t="s">
        <v>13</v>
      </c>
      <c r="C756" t="s">
        <v>42</v>
      </c>
      <c r="D756" t="s">
        <v>55</v>
      </c>
      <c r="E756">
        <v>2050</v>
      </c>
      <c r="F756">
        <v>457927.02496060182</v>
      </c>
    </row>
    <row r="757" spans="1:6" x14ac:dyDescent="0.25">
      <c r="A757" t="s">
        <v>152</v>
      </c>
      <c r="B757" t="s">
        <v>13</v>
      </c>
      <c r="C757" t="s">
        <v>42</v>
      </c>
      <c r="D757" t="s">
        <v>47</v>
      </c>
      <c r="E757">
        <v>2050</v>
      </c>
      <c r="F757">
        <v>32511.596204720234</v>
      </c>
    </row>
    <row r="758" spans="1:6" x14ac:dyDescent="0.25">
      <c r="A758" t="s">
        <v>152</v>
      </c>
      <c r="B758" t="s">
        <v>66</v>
      </c>
      <c r="C758" t="s">
        <v>42</v>
      </c>
      <c r="D758" t="s">
        <v>51</v>
      </c>
      <c r="E758">
        <v>2050</v>
      </c>
      <c r="F758">
        <v>0</v>
      </c>
    </row>
    <row r="759" spans="1:6" x14ac:dyDescent="0.25">
      <c r="A759" t="s">
        <v>152</v>
      </c>
      <c r="B759" t="s">
        <v>66</v>
      </c>
      <c r="C759" t="s">
        <v>42</v>
      </c>
      <c r="D759" t="s">
        <v>63</v>
      </c>
      <c r="E759">
        <v>2050</v>
      </c>
      <c r="F759">
        <v>0</v>
      </c>
    </row>
    <row r="760" spans="1:6" x14ac:dyDescent="0.25">
      <c r="A760" t="s">
        <v>152</v>
      </c>
      <c r="B760" t="s">
        <v>66</v>
      </c>
      <c r="C760" t="s">
        <v>42</v>
      </c>
      <c r="D760" t="s">
        <v>64</v>
      </c>
      <c r="E760">
        <v>2050</v>
      </c>
      <c r="F760">
        <v>0</v>
      </c>
    </row>
    <row r="761" spans="1:6" x14ac:dyDescent="0.25">
      <c r="A761" t="s">
        <v>152</v>
      </c>
      <c r="B761" t="s">
        <v>66</v>
      </c>
      <c r="C761" t="s">
        <v>42</v>
      </c>
      <c r="D761" t="s">
        <v>84</v>
      </c>
      <c r="E761">
        <v>2050</v>
      </c>
      <c r="F761">
        <v>195875.95930080733</v>
      </c>
    </row>
    <row r="762" spans="1:6" x14ac:dyDescent="0.25">
      <c r="A762" t="s">
        <v>152</v>
      </c>
      <c r="B762" t="s">
        <v>66</v>
      </c>
      <c r="C762" t="s">
        <v>42</v>
      </c>
      <c r="D762" t="s">
        <v>55</v>
      </c>
      <c r="E762">
        <v>2050</v>
      </c>
      <c r="F762">
        <v>0</v>
      </c>
    </row>
    <row r="763" spans="1:6" x14ac:dyDescent="0.25">
      <c r="A763" t="s">
        <v>152</v>
      </c>
      <c r="B763" t="s">
        <v>66</v>
      </c>
      <c r="C763" t="s">
        <v>42</v>
      </c>
      <c r="D763" t="s">
        <v>47</v>
      </c>
      <c r="E763">
        <v>2050</v>
      </c>
      <c r="F763">
        <v>0</v>
      </c>
    </row>
    <row r="764" spans="1:6" x14ac:dyDescent="0.25">
      <c r="A764" t="s">
        <v>152</v>
      </c>
      <c r="B764" t="s">
        <v>12</v>
      </c>
      <c r="C764" t="s">
        <v>27</v>
      </c>
      <c r="D764" t="s">
        <v>43</v>
      </c>
      <c r="E764">
        <v>2019</v>
      </c>
      <c r="F764">
        <v>12818096.433914844</v>
      </c>
    </row>
    <row r="765" spans="1:6" x14ac:dyDescent="0.25">
      <c r="A765" t="s">
        <v>152</v>
      </c>
      <c r="B765" t="s">
        <v>12</v>
      </c>
      <c r="C765" t="s">
        <v>27</v>
      </c>
      <c r="D765" t="s">
        <v>44</v>
      </c>
      <c r="E765">
        <v>2019</v>
      </c>
      <c r="F765">
        <v>9058051.1739541572</v>
      </c>
    </row>
    <row r="766" spans="1:6" x14ac:dyDescent="0.25">
      <c r="A766" t="s">
        <v>152</v>
      </c>
      <c r="B766" t="s">
        <v>12</v>
      </c>
      <c r="C766" t="s">
        <v>27</v>
      </c>
      <c r="D766" t="s">
        <v>45</v>
      </c>
      <c r="E766">
        <v>2019</v>
      </c>
      <c r="F766">
        <v>4103.8061780475591</v>
      </c>
    </row>
    <row r="767" spans="1:6" x14ac:dyDescent="0.25">
      <c r="A767" t="s">
        <v>152</v>
      </c>
      <c r="B767" t="s">
        <v>12</v>
      </c>
      <c r="C767" t="s">
        <v>27</v>
      </c>
      <c r="D767" t="s">
        <v>49</v>
      </c>
      <c r="E767">
        <v>2019</v>
      </c>
      <c r="F767">
        <v>730307.97492940596</v>
      </c>
    </row>
    <row r="768" spans="1:6" x14ac:dyDescent="0.25">
      <c r="A768" t="s">
        <v>152</v>
      </c>
      <c r="B768" t="s">
        <v>12</v>
      </c>
      <c r="C768" t="s">
        <v>27</v>
      </c>
      <c r="D768" t="s">
        <v>67</v>
      </c>
      <c r="E768">
        <v>2019</v>
      </c>
      <c r="F768">
        <v>7001759.6428652545</v>
      </c>
    </row>
    <row r="769" spans="1:6" x14ac:dyDescent="0.25">
      <c r="A769" t="s">
        <v>152</v>
      </c>
      <c r="B769" t="s">
        <v>12</v>
      </c>
      <c r="C769" t="s">
        <v>27</v>
      </c>
      <c r="D769" t="s">
        <v>68</v>
      </c>
      <c r="E769">
        <v>2019</v>
      </c>
      <c r="F769">
        <v>567745.18896312197</v>
      </c>
    </row>
    <row r="770" spans="1:6" x14ac:dyDescent="0.25">
      <c r="A770" t="s">
        <v>152</v>
      </c>
      <c r="B770" t="s">
        <v>12</v>
      </c>
      <c r="C770" t="s">
        <v>27</v>
      </c>
      <c r="D770" t="s">
        <v>43</v>
      </c>
      <c r="E770">
        <v>2030</v>
      </c>
      <c r="F770">
        <v>6406804.0997494552</v>
      </c>
    </row>
    <row r="771" spans="1:6" x14ac:dyDescent="0.25">
      <c r="A771" t="s">
        <v>152</v>
      </c>
      <c r="B771" t="s">
        <v>12</v>
      </c>
      <c r="C771" t="s">
        <v>27</v>
      </c>
      <c r="D771" t="s">
        <v>44</v>
      </c>
      <c r="E771">
        <v>2030</v>
      </c>
      <c r="F771">
        <v>5517986.1023177085</v>
      </c>
    </row>
    <row r="772" spans="1:6" x14ac:dyDescent="0.25">
      <c r="A772" t="s">
        <v>152</v>
      </c>
      <c r="B772" t="s">
        <v>12</v>
      </c>
      <c r="C772" t="s">
        <v>27</v>
      </c>
      <c r="D772" t="s">
        <v>45</v>
      </c>
      <c r="E772">
        <v>2030</v>
      </c>
      <c r="F772">
        <v>4171.3630677727415</v>
      </c>
    </row>
    <row r="773" spans="1:6" x14ac:dyDescent="0.25">
      <c r="A773" t="s">
        <v>152</v>
      </c>
      <c r="B773" t="s">
        <v>12</v>
      </c>
      <c r="C773" t="s">
        <v>27</v>
      </c>
      <c r="D773" t="s">
        <v>49</v>
      </c>
      <c r="E773">
        <v>2030</v>
      </c>
      <c r="F773">
        <v>430885.27928976336</v>
      </c>
    </row>
    <row r="774" spans="1:6" x14ac:dyDescent="0.25">
      <c r="A774" t="s">
        <v>152</v>
      </c>
      <c r="B774" t="s">
        <v>12</v>
      </c>
      <c r="C774" t="s">
        <v>27</v>
      </c>
      <c r="D774" t="s">
        <v>67</v>
      </c>
      <c r="E774">
        <v>2030</v>
      </c>
      <c r="F774">
        <v>12112922.161420638</v>
      </c>
    </row>
    <row r="775" spans="1:6" x14ac:dyDescent="0.25">
      <c r="A775" t="s">
        <v>152</v>
      </c>
      <c r="B775" t="s">
        <v>12</v>
      </c>
      <c r="C775" t="s">
        <v>27</v>
      </c>
      <c r="D775" t="s">
        <v>68</v>
      </c>
      <c r="E775">
        <v>2030</v>
      </c>
      <c r="F775">
        <v>885489.82367012813</v>
      </c>
    </row>
    <row r="776" spans="1:6" x14ac:dyDescent="0.25">
      <c r="A776" t="s">
        <v>152</v>
      </c>
      <c r="B776" t="s">
        <v>12</v>
      </c>
      <c r="C776" t="s">
        <v>27</v>
      </c>
      <c r="D776" t="s">
        <v>43</v>
      </c>
      <c r="E776">
        <v>2050</v>
      </c>
      <c r="F776">
        <v>2525651.0593264229</v>
      </c>
    </row>
    <row r="777" spans="1:6" x14ac:dyDescent="0.25">
      <c r="A777" t="s">
        <v>152</v>
      </c>
      <c r="B777" t="s">
        <v>12</v>
      </c>
      <c r="C777" t="s">
        <v>27</v>
      </c>
      <c r="D777" t="s">
        <v>44</v>
      </c>
      <c r="E777">
        <v>2050</v>
      </c>
      <c r="F777">
        <v>2228696.1379462192</v>
      </c>
    </row>
    <row r="778" spans="1:6" x14ac:dyDescent="0.25">
      <c r="A778" t="s">
        <v>152</v>
      </c>
      <c r="B778" t="s">
        <v>12</v>
      </c>
      <c r="C778" t="s">
        <v>27</v>
      </c>
      <c r="D778" t="s">
        <v>45</v>
      </c>
      <c r="E778">
        <v>2050</v>
      </c>
      <c r="F778">
        <v>2153.8829306206053</v>
      </c>
    </row>
    <row r="779" spans="1:6" x14ac:dyDescent="0.25">
      <c r="A779" t="s">
        <v>152</v>
      </c>
      <c r="B779" t="s">
        <v>12</v>
      </c>
      <c r="C779" t="s">
        <v>27</v>
      </c>
      <c r="D779" t="s">
        <v>49</v>
      </c>
      <c r="E779">
        <v>2050</v>
      </c>
      <c r="F779">
        <v>187967.66856597396</v>
      </c>
    </row>
    <row r="780" spans="1:6" x14ac:dyDescent="0.25">
      <c r="A780" t="s">
        <v>152</v>
      </c>
      <c r="B780" t="s">
        <v>12</v>
      </c>
      <c r="C780" t="s">
        <v>27</v>
      </c>
      <c r="D780" t="s">
        <v>67</v>
      </c>
      <c r="E780">
        <v>2050</v>
      </c>
      <c r="F780">
        <v>13974569.559899479</v>
      </c>
    </row>
    <row r="781" spans="1:6" x14ac:dyDescent="0.25">
      <c r="A781" t="s">
        <v>152</v>
      </c>
      <c r="B781" t="s">
        <v>12</v>
      </c>
      <c r="C781" t="s">
        <v>27</v>
      </c>
      <c r="D781" t="s">
        <v>68</v>
      </c>
      <c r="E781">
        <v>2050</v>
      </c>
      <c r="F781">
        <v>1024074.0482575882</v>
      </c>
    </row>
    <row r="782" spans="1:6" x14ac:dyDescent="0.25">
      <c r="A782" t="s">
        <v>152</v>
      </c>
      <c r="B782" t="s">
        <v>12</v>
      </c>
      <c r="C782" t="s">
        <v>42</v>
      </c>
      <c r="D782" t="s">
        <v>43</v>
      </c>
      <c r="E782">
        <v>2019</v>
      </c>
      <c r="F782">
        <v>1924034.2327518209</v>
      </c>
    </row>
    <row r="783" spans="1:6" x14ac:dyDescent="0.25">
      <c r="A783" t="s">
        <v>152</v>
      </c>
      <c r="B783" t="s">
        <v>12</v>
      </c>
      <c r="C783" t="s">
        <v>42</v>
      </c>
      <c r="D783" t="s">
        <v>44</v>
      </c>
      <c r="E783">
        <v>2019</v>
      </c>
      <c r="F783">
        <v>638439.1593791761</v>
      </c>
    </row>
    <row r="784" spans="1:6" x14ac:dyDescent="0.25">
      <c r="A784" t="s">
        <v>152</v>
      </c>
      <c r="B784" t="s">
        <v>12</v>
      </c>
      <c r="C784" t="s">
        <v>42</v>
      </c>
      <c r="D784" t="s">
        <v>45</v>
      </c>
      <c r="E784">
        <v>2019</v>
      </c>
      <c r="F784">
        <v>337.693821952441</v>
      </c>
    </row>
    <row r="785" spans="1:6" x14ac:dyDescent="0.25">
      <c r="A785" t="s">
        <v>152</v>
      </c>
      <c r="B785" t="s">
        <v>12</v>
      </c>
      <c r="C785" t="s">
        <v>42</v>
      </c>
      <c r="D785" t="s">
        <v>49</v>
      </c>
      <c r="E785">
        <v>2019</v>
      </c>
      <c r="F785">
        <v>93457.017927737121</v>
      </c>
    </row>
    <row r="786" spans="1:6" x14ac:dyDescent="0.25">
      <c r="A786" t="s">
        <v>152</v>
      </c>
      <c r="B786" t="s">
        <v>12</v>
      </c>
      <c r="C786" t="s">
        <v>42</v>
      </c>
      <c r="D786" t="s">
        <v>67</v>
      </c>
      <c r="E786">
        <v>2019</v>
      </c>
      <c r="F786">
        <v>1801732.0926432305</v>
      </c>
    </row>
    <row r="787" spans="1:6" x14ac:dyDescent="0.25">
      <c r="A787" t="s">
        <v>152</v>
      </c>
      <c r="B787" t="s">
        <v>12</v>
      </c>
      <c r="C787" t="s">
        <v>42</v>
      </c>
      <c r="D787" t="s">
        <v>68</v>
      </c>
      <c r="E787">
        <v>2019</v>
      </c>
      <c r="F787">
        <v>377069.89971696056</v>
      </c>
    </row>
    <row r="788" spans="1:6" x14ac:dyDescent="0.25">
      <c r="A788" t="s">
        <v>152</v>
      </c>
      <c r="B788" t="s">
        <v>12</v>
      </c>
      <c r="C788" t="s">
        <v>42</v>
      </c>
      <c r="D788" t="s">
        <v>43</v>
      </c>
      <c r="E788">
        <v>2030</v>
      </c>
      <c r="F788">
        <v>928327.43116820953</v>
      </c>
    </row>
    <row r="789" spans="1:6" x14ac:dyDescent="0.25">
      <c r="A789" t="s">
        <v>152</v>
      </c>
      <c r="B789" t="s">
        <v>12</v>
      </c>
      <c r="C789" t="s">
        <v>42</v>
      </c>
      <c r="D789" t="s">
        <v>44</v>
      </c>
      <c r="E789">
        <v>2030</v>
      </c>
      <c r="F789">
        <v>392185.39838313882</v>
      </c>
    </row>
    <row r="790" spans="1:6" x14ac:dyDescent="0.25">
      <c r="A790" t="s">
        <v>152</v>
      </c>
      <c r="B790" t="s">
        <v>12</v>
      </c>
      <c r="C790" t="s">
        <v>42</v>
      </c>
      <c r="D790" t="s">
        <v>45</v>
      </c>
      <c r="E790">
        <v>2030</v>
      </c>
      <c r="F790">
        <v>350.10096257642732</v>
      </c>
    </row>
    <row r="791" spans="1:6" x14ac:dyDescent="0.25">
      <c r="A791" t="s">
        <v>152</v>
      </c>
      <c r="B791" t="s">
        <v>12</v>
      </c>
      <c r="C791" t="s">
        <v>42</v>
      </c>
      <c r="D791" t="s">
        <v>49</v>
      </c>
      <c r="E791">
        <v>2030</v>
      </c>
      <c r="F791">
        <v>57948.295733895437</v>
      </c>
    </row>
    <row r="792" spans="1:6" x14ac:dyDescent="0.25">
      <c r="A792" t="s">
        <v>152</v>
      </c>
      <c r="B792" t="s">
        <v>12</v>
      </c>
      <c r="C792" t="s">
        <v>42</v>
      </c>
      <c r="D792" t="s">
        <v>67</v>
      </c>
      <c r="E792">
        <v>2030</v>
      </c>
      <c r="F792">
        <v>2715423.0201437804</v>
      </c>
    </row>
    <row r="793" spans="1:6" x14ac:dyDescent="0.25">
      <c r="A793" t="s">
        <v>152</v>
      </c>
      <c r="B793" t="s">
        <v>12</v>
      </c>
      <c r="C793" t="s">
        <v>42</v>
      </c>
      <c r="D793" t="s">
        <v>68</v>
      </c>
      <c r="E793">
        <v>2030</v>
      </c>
      <c r="F793">
        <v>436449.33133728581</v>
      </c>
    </row>
    <row r="794" spans="1:6" x14ac:dyDescent="0.25">
      <c r="A794" t="s">
        <v>152</v>
      </c>
      <c r="B794" t="s">
        <v>12</v>
      </c>
      <c r="C794" t="s">
        <v>42</v>
      </c>
      <c r="D794" t="s">
        <v>43</v>
      </c>
      <c r="E794">
        <v>2050</v>
      </c>
      <c r="F794">
        <v>365959.55228652223</v>
      </c>
    </row>
    <row r="795" spans="1:6" x14ac:dyDescent="0.25">
      <c r="A795" t="s">
        <v>152</v>
      </c>
      <c r="B795" t="s">
        <v>12</v>
      </c>
      <c r="C795" t="s">
        <v>42</v>
      </c>
      <c r="D795" t="s">
        <v>44</v>
      </c>
      <c r="E795">
        <v>2050</v>
      </c>
      <c r="F795">
        <v>158402.37117818589</v>
      </c>
    </row>
    <row r="796" spans="1:6" x14ac:dyDescent="0.25">
      <c r="A796" t="s">
        <v>152</v>
      </c>
      <c r="B796" t="s">
        <v>12</v>
      </c>
      <c r="C796" t="s">
        <v>42</v>
      </c>
      <c r="D796" t="s">
        <v>45</v>
      </c>
      <c r="E796">
        <v>2050</v>
      </c>
      <c r="F796">
        <v>180.77459934213829</v>
      </c>
    </row>
    <row r="797" spans="1:6" x14ac:dyDescent="0.25">
      <c r="A797" t="s">
        <v>152</v>
      </c>
      <c r="B797" t="s">
        <v>12</v>
      </c>
      <c r="C797" t="s">
        <v>42</v>
      </c>
      <c r="D797" t="s">
        <v>49</v>
      </c>
      <c r="E797">
        <v>2050</v>
      </c>
      <c r="F797">
        <v>25309.661380304478</v>
      </c>
    </row>
    <row r="798" spans="1:6" x14ac:dyDescent="0.25">
      <c r="A798" t="s">
        <v>152</v>
      </c>
      <c r="B798" t="s">
        <v>12</v>
      </c>
      <c r="C798" t="s">
        <v>42</v>
      </c>
      <c r="D798" t="s">
        <v>67</v>
      </c>
      <c r="E798">
        <v>2050</v>
      </c>
      <c r="F798">
        <v>3345582.5646034097</v>
      </c>
    </row>
    <row r="799" spans="1:6" x14ac:dyDescent="0.25">
      <c r="A799" t="s">
        <v>152</v>
      </c>
      <c r="B799" t="s">
        <v>12</v>
      </c>
      <c r="C799" t="s">
        <v>42</v>
      </c>
      <c r="D799" t="s">
        <v>68</v>
      </c>
      <c r="E799">
        <v>2050</v>
      </c>
      <c r="F799">
        <v>480099.00473882409</v>
      </c>
    </row>
    <row r="800" spans="1:6" x14ac:dyDescent="0.25">
      <c r="A800" t="s">
        <v>152</v>
      </c>
      <c r="B800" t="s">
        <v>69</v>
      </c>
      <c r="C800" t="s">
        <v>27</v>
      </c>
      <c r="D800" t="s">
        <v>52</v>
      </c>
      <c r="E800">
        <v>2019</v>
      </c>
      <c r="F800">
        <v>0</v>
      </c>
    </row>
    <row r="801" spans="1:6" x14ac:dyDescent="0.25">
      <c r="A801" t="s">
        <v>152</v>
      </c>
      <c r="B801" t="s">
        <v>69</v>
      </c>
      <c r="C801" t="s">
        <v>27</v>
      </c>
      <c r="D801" t="s">
        <v>52</v>
      </c>
      <c r="E801">
        <v>2030</v>
      </c>
      <c r="F801">
        <v>1966958.8877732051</v>
      </c>
    </row>
    <row r="802" spans="1:6" x14ac:dyDescent="0.25">
      <c r="A802" t="s">
        <v>152</v>
      </c>
      <c r="B802" t="s">
        <v>69</v>
      </c>
      <c r="C802" t="s">
        <v>27</v>
      </c>
      <c r="D802" t="s">
        <v>52</v>
      </c>
      <c r="E802">
        <v>2050</v>
      </c>
      <c r="F802">
        <v>2651872.9008556642</v>
      </c>
    </row>
    <row r="803" spans="1:6" x14ac:dyDescent="0.25">
      <c r="A803" t="s">
        <v>152</v>
      </c>
      <c r="B803" t="s">
        <v>69</v>
      </c>
      <c r="C803" t="s">
        <v>42</v>
      </c>
      <c r="D803" t="s">
        <v>52</v>
      </c>
      <c r="E803">
        <v>2019</v>
      </c>
      <c r="F803">
        <v>0</v>
      </c>
    </row>
    <row r="804" spans="1:6" x14ac:dyDescent="0.25">
      <c r="A804" t="s">
        <v>152</v>
      </c>
      <c r="B804" t="s">
        <v>69</v>
      </c>
      <c r="C804" t="s">
        <v>42</v>
      </c>
      <c r="D804" t="s">
        <v>52</v>
      </c>
      <c r="E804">
        <v>2030</v>
      </c>
      <c r="F804">
        <v>241028.49151254582</v>
      </c>
    </row>
    <row r="805" spans="1:6" x14ac:dyDescent="0.25">
      <c r="A805" t="s">
        <v>152</v>
      </c>
      <c r="B805" t="s">
        <v>69</v>
      </c>
      <c r="C805" t="s">
        <v>42</v>
      </c>
      <c r="D805" t="s">
        <v>52</v>
      </c>
      <c r="E805">
        <v>2050</v>
      </c>
      <c r="F805">
        <v>324199.45764508267</v>
      </c>
    </row>
    <row r="806" spans="1:6" x14ac:dyDescent="0.25">
      <c r="A806" t="s">
        <v>152</v>
      </c>
      <c r="B806" t="s">
        <v>70</v>
      </c>
      <c r="C806" t="s">
        <v>27</v>
      </c>
      <c r="D806" t="s">
        <v>71</v>
      </c>
      <c r="E806">
        <v>2019</v>
      </c>
      <c r="F806">
        <v>484833.6848947219</v>
      </c>
    </row>
    <row r="807" spans="1:6" x14ac:dyDescent="0.25">
      <c r="A807" t="s">
        <v>152</v>
      </c>
      <c r="B807" t="s">
        <v>70</v>
      </c>
      <c r="C807" t="s">
        <v>27</v>
      </c>
      <c r="D807" t="s">
        <v>71</v>
      </c>
      <c r="E807">
        <v>2030</v>
      </c>
      <c r="F807">
        <v>459516.59131699731</v>
      </c>
    </row>
    <row r="808" spans="1:6" x14ac:dyDescent="0.25">
      <c r="A808" t="s">
        <v>152</v>
      </c>
      <c r="B808" t="s">
        <v>70</v>
      </c>
      <c r="C808" t="s">
        <v>27</v>
      </c>
      <c r="D808" t="s">
        <v>71</v>
      </c>
      <c r="E808">
        <v>2050</v>
      </c>
      <c r="F808">
        <v>384052.86058103014</v>
      </c>
    </row>
    <row r="809" spans="1:6" x14ac:dyDescent="0.25">
      <c r="A809" t="s">
        <v>152</v>
      </c>
      <c r="B809" t="s">
        <v>70</v>
      </c>
      <c r="C809" t="s">
        <v>42</v>
      </c>
      <c r="D809" t="s">
        <v>71</v>
      </c>
      <c r="E809">
        <v>2019</v>
      </c>
      <c r="F809">
        <v>193574.13238370849</v>
      </c>
    </row>
    <row r="810" spans="1:6" x14ac:dyDescent="0.25">
      <c r="A810" t="s">
        <v>152</v>
      </c>
      <c r="B810" t="s">
        <v>70</v>
      </c>
      <c r="C810" t="s">
        <v>42</v>
      </c>
      <c r="D810" t="s">
        <v>71</v>
      </c>
      <c r="E810">
        <v>2030</v>
      </c>
      <c r="F810">
        <v>145418.61659697676</v>
      </c>
    </row>
    <row r="811" spans="1:6" x14ac:dyDescent="0.25">
      <c r="A811" t="s">
        <v>152</v>
      </c>
      <c r="B811" t="s">
        <v>70</v>
      </c>
      <c r="C811" t="s">
        <v>42</v>
      </c>
      <c r="D811" t="s">
        <v>71</v>
      </c>
      <c r="E811">
        <v>2050</v>
      </c>
      <c r="F811">
        <v>134885.97681729178</v>
      </c>
    </row>
    <row r="812" spans="1:6" x14ac:dyDescent="0.25">
      <c r="A812" t="s">
        <v>152</v>
      </c>
      <c r="B812" t="s">
        <v>136</v>
      </c>
      <c r="C812" t="s">
        <v>27</v>
      </c>
      <c r="D812" t="s">
        <v>51</v>
      </c>
      <c r="E812">
        <v>2019</v>
      </c>
      <c r="F812">
        <v>0</v>
      </c>
    </row>
    <row r="813" spans="1:6" x14ac:dyDescent="0.25">
      <c r="A813" t="s">
        <v>152</v>
      </c>
      <c r="B813" t="s">
        <v>136</v>
      </c>
      <c r="C813" t="s">
        <v>27</v>
      </c>
      <c r="D813" t="s">
        <v>51</v>
      </c>
      <c r="E813">
        <v>2030</v>
      </c>
      <c r="F813">
        <v>363009.65322627564</v>
      </c>
    </row>
    <row r="814" spans="1:6" x14ac:dyDescent="0.25">
      <c r="A814" t="s">
        <v>152</v>
      </c>
      <c r="B814" t="s">
        <v>136</v>
      </c>
      <c r="C814" t="s">
        <v>27</v>
      </c>
      <c r="D814" t="s">
        <v>51</v>
      </c>
      <c r="E814">
        <v>2050</v>
      </c>
      <c r="F814">
        <v>704217.74637308426</v>
      </c>
    </row>
    <row r="815" spans="1:6" x14ac:dyDescent="0.25">
      <c r="A815" t="s">
        <v>152</v>
      </c>
      <c r="B815" t="s">
        <v>136</v>
      </c>
      <c r="C815" t="s">
        <v>42</v>
      </c>
      <c r="D815" t="s">
        <v>51</v>
      </c>
      <c r="E815">
        <v>2019</v>
      </c>
      <c r="F815">
        <v>0</v>
      </c>
    </row>
    <row r="816" spans="1:6" x14ac:dyDescent="0.25">
      <c r="A816" t="s">
        <v>152</v>
      </c>
      <c r="B816" t="s">
        <v>136</v>
      </c>
      <c r="C816" t="s">
        <v>42</v>
      </c>
      <c r="D816" t="s">
        <v>51</v>
      </c>
      <c r="E816">
        <v>2030</v>
      </c>
      <c r="F816">
        <v>136990.3467737243</v>
      </c>
    </row>
    <row r="817" spans="1:6" x14ac:dyDescent="0.25">
      <c r="A817" t="s">
        <v>152</v>
      </c>
      <c r="B817" t="s">
        <v>136</v>
      </c>
      <c r="C817" t="s">
        <v>42</v>
      </c>
      <c r="D817" t="s">
        <v>51</v>
      </c>
      <c r="E817">
        <v>2050</v>
      </c>
      <c r="F817">
        <v>295782.25362691545</v>
      </c>
    </row>
    <row r="818" spans="1:6" x14ac:dyDescent="0.25">
      <c r="A818" t="s">
        <v>152</v>
      </c>
      <c r="B818" t="s">
        <v>13</v>
      </c>
      <c r="C818" t="s">
        <v>27</v>
      </c>
      <c r="D818" t="s">
        <v>137</v>
      </c>
      <c r="E818">
        <v>2019</v>
      </c>
      <c r="F818">
        <v>0</v>
      </c>
    </row>
    <row r="819" spans="1:6" x14ac:dyDescent="0.25">
      <c r="A819" t="s">
        <v>152</v>
      </c>
      <c r="B819" t="s">
        <v>13</v>
      </c>
      <c r="C819" t="s">
        <v>27</v>
      </c>
      <c r="D819" t="s">
        <v>138</v>
      </c>
      <c r="E819">
        <v>2019</v>
      </c>
      <c r="F819">
        <v>0</v>
      </c>
    </row>
    <row r="820" spans="1:6" x14ac:dyDescent="0.25">
      <c r="A820" t="s">
        <v>152</v>
      </c>
      <c r="B820" t="s">
        <v>13</v>
      </c>
      <c r="C820" t="s">
        <v>27</v>
      </c>
      <c r="D820" t="s">
        <v>137</v>
      </c>
      <c r="E820">
        <v>2030</v>
      </c>
      <c r="F820">
        <v>203285.40580671438</v>
      </c>
    </row>
    <row r="821" spans="1:6" x14ac:dyDescent="0.25">
      <c r="A821" t="s">
        <v>152</v>
      </c>
      <c r="B821" t="s">
        <v>13</v>
      </c>
      <c r="C821" t="s">
        <v>27</v>
      </c>
      <c r="D821" t="s">
        <v>138</v>
      </c>
      <c r="E821">
        <v>2030</v>
      </c>
      <c r="F821">
        <v>50821.351451678594</v>
      </c>
    </row>
    <row r="822" spans="1:6" x14ac:dyDescent="0.25">
      <c r="A822" t="s">
        <v>152</v>
      </c>
      <c r="B822" t="s">
        <v>13</v>
      </c>
      <c r="C822" t="s">
        <v>27</v>
      </c>
      <c r="D822" t="s">
        <v>137</v>
      </c>
      <c r="E822">
        <v>2050</v>
      </c>
      <c r="F822">
        <v>394361.9379689272</v>
      </c>
    </row>
    <row r="823" spans="1:6" x14ac:dyDescent="0.25">
      <c r="A823" t="s">
        <v>152</v>
      </c>
      <c r="B823" t="s">
        <v>13</v>
      </c>
      <c r="C823" t="s">
        <v>27</v>
      </c>
      <c r="D823" t="s">
        <v>138</v>
      </c>
      <c r="E823">
        <v>2050</v>
      </c>
      <c r="F823">
        <v>98590.484492231801</v>
      </c>
    </row>
    <row r="824" spans="1:6" x14ac:dyDescent="0.25">
      <c r="A824" t="s">
        <v>152</v>
      </c>
      <c r="B824" t="s">
        <v>13</v>
      </c>
      <c r="C824" t="s">
        <v>42</v>
      </c>
      <c r="D824" t="s">
        <v>137</v>
      </c>
      <c r="E824">
        <v>2019</v>
      </c>
      <c r="F824">
        <v>0</v>
      </c>
    </row>
    <row r="825" spans="1:6" x14ac:dyDescent="0.25">
      <c r="A825" t="s">
        <v>152</v>
      </c>
      <c r="B825" t="s">
        <v>13</v>
      </c>
      <c r="C825" t="s">
        <v>42</v>
      </c>
      <c r="D825" t="s">
        <v>138</v>
      </c>
      <c r="E825">
        <v>2019</v>
      </c>
      <c r="F825">
        <v>0</v>
      </c>
    </row>
    <row r="826" spans="1:6" x14ac:dyDescent="0.25">
      <c r="A826" t="s">
        <v>152</v>
      </c>
      <c r="B826" t="s">
        <v>13</v>
      </c>
      <c r="C826" t="s">
        <v>42</v>
      </c>
      <c r="D826" t="s">
        <v>137</v>
      </c>
      <c r="E826">
        <v>2030</v>
      </c>
      <c r="F826">
        <v>76714.594193285622</v>
      </c>
    </row>
    <row r="827" spans="1:6" x14ac:dyDescent="0.25">
      <c r="A827" t="s">
        <v>152</v>
      </c>
      <c r="B827" t="s">
        <v>13</v>
      </c>
      <c r="C827" t="s">
        <v>42</v>
      </c>
      <c r="D827" t="s">
        <v>138</v>
      </c>
      <c r="E827">
        <v>2030</v>
      </c>
      <c r="F827">
        <v>19178.648548321406</v>
      </c>
    </row>
    <row r="828" spans="1:6" x14ac:dyDescent="0.25">
      <c r="A828" t="s">
        <v>152</v>
      </c>
      <c r="B828" t="s">
        <v>13</v>
      </c>
      <c r="C828" t="s">
        <v>42</v>
      </c>
      <c r="D828" t="s">
        <v>137</v>
      </c>
      <c r="E828">
        <v>2050</v>
      </c>
      <c r="F828">
        <v>165638.06203107268</v>
      </c>
    </row>
    <row r="829" spans="1:6" x14ac:dyDescent="0.25">
      <c r="A829" t="s">
        <v>152</v>
      </c>
      <c r="B829" t="s">
        <v>13</v>
      </c>
      <c r="C829" t="s">
        <v>42</v>
      </c>
      <c r="D829" t="s">
        <v>138</v>
      </c>
      <c r="E829">
        <v>2050</v>
      </c>
      <c r="F829">
        <v>41409.51550776817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577"/>
  <sheetViews>
    <sheetView topLeftCell="A271" workbookViewId="0">
      <selection activeCell="B290" sqref="B290:Z577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132</v>
      </c>
    </row>
    <row r="2" spans="1:26" x14ac:dyDescent="0.25">
      <c r="A2" t="s">
        <v>151</v>
      </c>
      <c r="B2" t="s">
        <v>39</v>
      </c>
      <c r="D2">
        <v>0</v>
      </c>
      <c r="E2">
        <v>2019</v>
      </c>
      <c r="F2" t="s">
        <v>27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151</v>
      </c>
      <c r="B3" t="s">
        <v>33</v>
      </c>
      <c r="D3">
        <v>0</v>
      </c>
      <c r="E3">
        <v>2019</v>
      </c>
      <c r="F3" t="s">
        <v>27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151</v>
      </c>
      <c r="B4" t="s">
        <v>47</v>
      </c>
      <c r="C4" t="s">
        <v>72</v>
      </c>
      <c r="D4">
        <v>1</v>
      </c>
      <c r="E4">
        <v>2019</v>
      </c>
      <c r="F4" t="s">
        <v>27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151</v>
      </c>
      <c r="B5" t="s">
        <v>11</v>
      </c>
      <c r="D5">
        <v>1</v>
      </c>
      <c r="E5">
        <v>2019</v>
      </c>
      <c r="F5" t="s">
        <v>27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151</v>
      </c>
      <c r="B6" t="s">
        <v>67</v>
      </c>
      <c r="D6">
        <v>0</v>
      </c>
      <c r="E6">
        <v>2019</v>
      </c>
      <c r="F6" t="s">
        <v>27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151</v>
      </c>
      <c r="B7" t="s">
        <v>50</v>
      </c>
      <c r="C7" t="s">
        <v>72</v>
      </c>
      <c r="D7">
        <v>1</v>
      </c>
      <c r="E7">
        <v>2019</v>
      </c>
      <c r="F7" t="s">
        <v>27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151</v>
      </c>
      <c r="B8" t="s">
        <v>49</v>
      </c>
      <c r="C8" t="s">
        <v>73</v>
      </c>
      <c r="D8">
        <v>1</v>
      </c>
      <c r="E8">
        <v>2019</v>
      </c>
      <c r="F8" t="s">
        <v>27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151</v>
      </c>
      <c r="B9" t="s">
        <v>59</v>
      </c>
      <c r="D9">
        <v>0</v>
      </c>
      <c r="E9">
        <v>2019</v>
      </c>
      <c r="F9" t="s">
        <v>27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151</v>
      </c>
      <c r="B10" t="s">
        <v>45</v>
      </c>
      <c r="C10" t="s">
        <v>73</v>
      </c>
      <c r="D10">
        <v>1</v>
      </c>
      <c r="E10">
        <v>2019</v>
      </c>
      <c r="F10" t="s">
        <v>27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151</v>
      </c>
      <c r="B11" t="s">
        <v>38</v>
      </c>
      <c r="D11">
        <v>0</v>
      </c>
      <c r="E11">
        <v>2019</v>
      </c>
      <c r="F11" t="s">
        <v>27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151</v>
      </c>
      <c r="B12" t="s">
        <v>74</v>
      </c>
      <c r="D12">
        <v>0</v>
      </c>
      <c r="E12">
        <v>2019</v>
      </c>
      <c r="F12" t="s">
        <v>27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151</v>
      </c>
      <c r="B13" t="s">
        <v>40</v>
      </c>
      <c r="D13">
        <v>0</v>
      </c>
      <c r="E13">
        <v>2019</v>
      </c>
      <c r="F13" t="s">
        <v>27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151</v>
      </c>
      <c r="B14" t="s">
        <v>56</v>
      </c>
      <c r="C14" t="s">
        <v>56</v>
      </c>
      <c r="D14">
        <v>1</v>
      </c>
      <c r="E14">
        <v>2019</v>
      </c>
      <c r="F14" t="s">
        <v>27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151</v>
      </c>
      <c r="B15" t="s">
        <v>52</v>
      </c>
      <c r="C15" t="s">
        <v>75</v>
      </c>
      <c r="D15">
        <v>1</v>
      </c>
      <c r="E15">
        <v>2019</v>
      </c>
      <c r="F15" t="s">
        <v>27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151</v>
      </c>
      <c r="B16" t="s">
        <v>60</v>
      </c>
      <c r="D16">
        <v>0</v>
      </c>
      <c r="E16">
        <v>2019</v>
      </c>
      <c r="F16" t="s">
        <v>27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151</v>
      </c>
      <c r="B17" t="s">
        <v>29</v>
      </c>
      <c r="D17">
        <v>0</v>
      </c>
      <c r="E17">
        <v>2019</v>
      </c>
      <c r="F17" t="s">
        <v>27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151</v>
      </c>
      <c r="B18" t="s">
        <v>51</v>
      </c>
      <c r="C18" t="s">
        <v>76</v>
      </c>
      <c r="D18">
        <v>1</v>
      </c>
      <c r="E18">
        <v>2019</v>
      </c>
      <c r="F18" t="s">
        <v>27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151</v>
      </c>
      <c r="B19" t="s">
        <v>55</v>
      </c>
      <c r="C19" t="s">
        <v>72</v>
      </c>
      <c r="D19">
        <v>1</v>
      </c>
      <c r="E19">
        <v>2019</v>
      </c>
      <c r="F19" t="s">
        <v>27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151</v>
      </c>
      <c r="B20" t="s">
        <v>62</v>
      </c>
      <c r="D20">
        <v>0</v>
      </c>
      <c r="E20">
        <v>2019</v>
      </c>
      <c r="F20" t="s">
        <v>27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151</v>
      </c>
      <c r="B21" t="s">
        <v>48</v>
      </c>
      <c r="C21" t="s">
        <v>72</v>
      </c>
      <c r="D21">
        <v>1</v>
      </c>
      <c r="E21">
        <v>2019</v>
      </c>
      <c r="F21" t="s">
        <v>27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151</v>
      </c>
      <c r="B22" t="s">
        <v>77</v>
      </c>
      <c r="D22">
        <v>0</v>
      </c>
      <c r="E22">
        <v>2019</v>
      </c>
      <c r="F22" t="s">
        <v>27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151</v>
      </c>
      <c r="B23" t="s">
        <v>30</v>
      </c>
      <c r="D23">
        <v>0</v>
      </c>
      <c r="E23">
        <v>2019</v>
      </c>
      <c r="F23" t="s">
        <v>27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151</v>
      </c>
      <c r="B24" t="s">
        <v>28</v>
      </c>
      <c r="C24" t="s">
        <v>76</v>
      </c>
      <c r="D24">
        <v>1</v>
      </c>
      <c r="E24">
        <v>2019</v>
      </c>
      <c r="F24" t="s">
        <v>27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151</v>
      </c>
      <c r="B25" t="s">
        <v>68</v>
      </c>
      <c r="D25">
        <v>0</v>
      </c>
      <c r="E25">
        <v>2019</v>
      </c>
      <c r="F25" t="s">
        <v>27</v>
      </c>
      <c r="G25">
        <v>0</v>
      </c>
      <c r="H25">
        <v>0</v>
      </c>
      <c r="I25">
        <v>0</v>
      </c>
      <c r="J25">
        <v>0</v>
      </c>
      <c r="K25">
        <v>0</v>
      </c>
      <c r="L25">
        <v>567745.18896312197</v>
      </c>
      <c r="M25">
        <v>0</v>
      </c>
      <c r="N25">
        <v>0</v>
      </c>
      <c r="O25">
        <v>-567745.18896312197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151</v>
      </c>
      <c r="B26" t="s">
        <v>44</v>
      </c>
      <c r="C26" t="s">
        <v>73</v>
      </c>
      <c r="D26">
        <v>1</v>
      </c>
      <c r="E26">
        <v>2019</v>
      </c>
      <c r="F26" t="s">
        <v>27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151</v>
      </c>
      <c r="B27" t="s">
        <v>58</v>
      </c>
      <c r="D27">
        <v>0</v>
      </c>
      <c r="E27">
        <v>2019</v>
      </c>
      <c r="F27" t="s">
        <v>27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151</v>
      </c>
      <c r="B28" t="s">
        <v>53</v>
      </c>
      <c r="C28" t="s">
        <v>75</v>
      </c>
      <c r="D28">
        <v>1</v>
      </c>
      <c r="E28">
        <v>2019</v>
      </c>
      <c r="F28" t="s">
        <v>27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151</v>
      </c>
      <c r="B29" t="s">
        <v>37</v>
      </c>
      <c r="D29">
        <v>0</v>
      </c>
      <c r="E29">
        <v>2019</v>
      </c>
      <c r="F29" t="s">
        <v>27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151</v>
      </c>
      <c r="B30" t="s">
        <v>34</v>
      </c>
      <c r="C30" t="s">
        <v>78</v>
      </c>
      <c r="D30">
        <v>1</v>
      </c>
      <c r="E30">
        <v>2019</v>
      </c>
      <c r="F30" t="s">
        <v>27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151</v>
      </c>
      <c r="B31" t="s">
        <v>32</v>
      </c>
      <c r="D31">
        <v>0</v>
      </c>
      <c r="E31">
        <v>2019</v>
      </c>
      <c r="F31" t="s">
        <v>27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151</v>
      </c>
      <c r="B32" t="s">
        <v>79</v>
      </c>
      <c r="D32">
        <v>0</v>
      </c>
      <c r="E32">
        <v>2019</v>
      </c>
      <c r="F32" t="s">
        <v>27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151</v>
      </c>
      <c r="B33" t="s">
        <v>64</v>
      </c>
      <c r="C33" t="s">
        <v>80</v>
      </c>
      <c r="D33">
        <v>1</v>
      </c>
      <c r="E33">
        <v>2019</v>
      </c>
      <c r="F33" t="s">
        <v>27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151</v>
      </c>
      <c r="B34" t="s">
        <v>137</v>
      </c>
      <c r="C34" t="s">
        <v>139</v>
      </c>
      <c r="D34">
        <v>1</v>
      </c>
      <c r="E34">
        <v>2019</v>
      </c>
      <c r="F34" t="s">
        <v>27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151</v>
      </c>
      <c r="B35" t="s">
        <v>138</v>
      </c>
      <c r="C35" t="s">
        <v>139</v>
      </c>
      <c r="D35">
        <v>1</v>
      </c>
      <c r="E35">
        <v>2019</v>
      </c>
      <c r="F35" t="s">
        <v>27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151</v>
      </c>
      <c r="B36" t="s">
        <v>81</v>
      </c>
      <c r="D36">
        <v>0</v>
      </c>
      <c r="E36">
        <v>2019</v>
      </c>
      <c r="F36" t="s">
        <v>27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151</v>
      </c>
      <c r="B37" t="s">
        <v>71</v>
      </c>
      <c r="D37">
        <v>0</v>
      </c>
      <c r="E37">
        <v>2019</v>
      </c>
      <c r="F37" t="s">
        <v>27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151</v>
      </c>
      <c r="B38" t="s">
        <v>57</v>
      </c>
      <c r="D38">
        <v>0</v>
      </c>
      <c r="E38">
        <v>2019</v>
      </c>
      <c r="F38" t="s">
        <v>27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151</v>
      </c>
      <c r="B39" t="s">
        <v>63</v>
      </c>
      <c r="C39" t="s">
        <v>63</v>
      </c>
      <c r="D39">
        <v>1</v>
      </c>
      <c r="E39">
        <v>2019</v>
      </c>
      <c r="F39" t="s">
        <v>27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80676.325166481722</v>
      </c>
      <c r="N39">
        <v>74470.453999829275</v>
      </c>
      <c r="O39">
        <v>0</v>
      </c>
      <c r="P39">
        <v>0</v>
      </c>
      <c r="Q39">
        <v>80676.325166481722</v>
      </c>
      <c r="R39">
        <v>0</v>
      </c>
      <c r="S39">
        <v>2.8236713808268599</v>
      </c>
      <c r="T39">
        <v>0</v>
      </c>
      <c r="U39">
        <v>2.8236713808268599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151</v>
      </c>
      <c r="B40" t="s">
        <v>54</v>
      </c>
      <c r="C40" t="s">
        <v>75</v>
      </c>
      <c r="D40">
        <v>1</v>
      </c>
      <c r="E40">
        <v>2019</v>
      </c>
      <c r="F40" t="s">
        <v>27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151</v>
      </c>
      <c r="B41" t="s">
        <v>82</v>
      </c>
      <c r="D41">
        <v>0</v>
      </c>
      <c r="E41">
        <v>2019</v>
      </c>
      <c r="F41" t="s">
        <v>27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151</v>
      </c>
      <c r="B42" t="s">
        <v>61</v>
      </c>
      <c r="D42">
        <v>0</v>
      </c>
      <c r="E42">
        <v>2019</v>
      </c>
      <c r="F42" t="s">
        <v>27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151</v>
      </c>
      <c r="B43" t="s">
        <v>46</v>
      </c>
      <c r="C43" t="s">
        <v>72</v>
      </c>
      <c r="D43">
        <v>1</v>
      </c>
      <c r="E43">
        <v>2019</v>
      </c>
      <c r="F43" t="s">
        <v>27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151</v>
      </c>
      <c r="B44" t="s">
        <v>43</v>
      </c>
      <c r="C44" t="s">
        <v>73</v>
      </c>
      <c r="D44">
        <v>1</v>
      </c>
      <c r="E44">
        <v>2019</v>
      </c>
      <c r="F44" t="s">
        <v>27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151</v>
      </c>
      <c r="B45" t="s">
        <v>31</v>
      </c>
      <c r="D45">
        <v>0</v>
      </c>
      <c r="E45">
        <v>2019</v>
      </c>
      <c r="F45" t="s">
        <v>27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151</v>
      </c>
      <c r="B46" t="s">
        <v>35</v>
      </c>
      <c r="C46" t="s">
        <v>78</v>
      </c>
      <c r="D46">
        <v>1</v>
      </c>
      <c r="E46">
        <v>2019</v>
      </c>
      <c r="F46" t="s">
        <v>27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151</v>
      </c>
      <c r="B47" t="s">
        <v>83</v>
      </c>
      <c r="D47">
        <v>1</v>
      </c>
      <c r="E47">
        <v>2019</v>
      </c>
      <c r="F47" t="s">
        <v>27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151</v>
      </c>
      <c r="B48" t="s">
        <v>65</v>
      </c>
      <c r="C48" t="s">
        <v>80</v>
      </c>
      <c r="D48">
        <v>1</v>
      </c>
      <c r="E48">
        <v>2019</v>
      </c>
      <c r="F48" t="s">
        <v>27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151</v>
      </c>
      <c r="B49" t="s">
        <v>84</v>
      </c>
      <c r="D49">
        <v>0</v>
      </c>
      <c r="E49">
        <v>2019</v>
      </c>
      <c r="F49" t="s">
        <v>27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640280.13059892249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151</v>
      </c>
      <c r="B50" t="s">
        <v>39</v>
      </c>
      <c r="C50" t="s">
        <v>85</v>
      </c>
      <c r="D50">
        <v>0</v>
      </c>
      <c r="E50">
        <v>2030</v>
      </c>
      <c r="F50" t="s">
        <v>27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151</v>
      </c>
      <c r="B51" t="s">
        <v>33</v>
      </c>
      <c r="C51" t="s">
        <v>85</v>
      </c>
      <c r="D51">
        <v>0</v>
      </c>
      <c r="E51">
        <v>2030</v>
      </c>
      <c r="F51" t="s">
        <v>27</v>
      </c>
      <c r="G51">
        <v>604622.3741141489</v>
      </c>
      <c r="H51">
        <v>64498.475475191975</v>
      </c>
      <c r="I51">
        <v>0</v>
      </c>
      <c r="J51">
        <v>43439.71273733316</v>
      </c>
      <c r="K51">
        <v>0</v>
      </c>
      <c r="L51">
        <v>0</v>
      </c>
      <c r="M51">
        <v>0</v>
      </c>
      <c r="N51">
        <v>0</v>
      </c>
      <c r="O51">
        <v>496684.1859016238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151</v>
      </c>
      <c r="B52" t="s">
        <v>47</v>
      </c>
      <c r="C52" t="s">
        <v>72</v>
      </c>
      <c r="D52">
        <v>1</v>
      </c>
      <c r="E52">
        <v>2030</v>
      </c>
      <c r="F52" t="s">
        <v>27</v>
      </c>
      <c r="G52">
        <v>195082.22598438186</v>
      </c>
      <c r="H52">
        <v>0</v>
      </c>
      <c r="I52">
        <v>0</v>
      </c>
      <c r="J52">
        <v>0</v>
      </c>
      <c r="K52">
        <v>0</v>
      </c>
      <c r="L52">
        <v>0</v>
      </c>
      <c r="M52">
        <v>195082.22598438186</v>
      </c>
      <c r="N52">
        <v>0</v>
      </c>
      <c r="O52">
        <v>0</v>
      </c>
      <c r="P52">
        <v>0</v>
      </c>
      <c r="Q52">
        <v>195082.22598438186</v>
      </c>
      <c r="R52">
        <v>0</v>
      </c>
      <c r="S52">
        <v>3.4826509179371086</v>
      </c>
      <c r="T52">
        <v>0</v>
      </c>
      <c r="U52">
        <v>3.4826509179371086</v>
      </c>
      <c r="V52">
        <v>0</v>
      </c>
      <c r="W52">
        <v>54623.023275626925</v>
      </c>
      <c r="X52">
        <v>0</v>
      </c>
      <c r="Y52">
        <v>54623.023275626925</v>
      </c>
      <c r="Z52">
        <v>0</v>
      </c>
    </row>
    <row r="53" spans="1:26" x14ac:dyDescent="0.25">
      <c r="A53" t="s">
        <v>151</v>
      </c>
      <c r="B53" t="s">
        <v>11</v>
      </c>
      <c r="C53" t="s">
        <v>85</v>
      </c>
      <c r="D53">
        <v>1</v>
      </c>
      <c r="E53">
        <v>2030</v>
      </c>
      <c r="F53" t="s">
        <v>27</v>
      </c>
      <c r="G53">
        <v>514572087.50400746</v>
      </c>
      <c r="H53">
        <v>0</v>
      </c>
      <c r="I53">
        <v>0</v>
      </c>
      <c r="J53">
        <v>0</v>
      </c>
      <c r="K53">
        <v>0</v>
      </c>
      <c r="L53">
        <v>0</v>
      </c>
      <c r="M53">
        <v>514572087.50400746</v>
      </c>
      <c r="N53">
        <v>0</v>
      </c>
      <c r="O53">
        <v>0</v>
      </c>
      <c r="P53">
        <v>0</v>
      </c>
      <c r="Q53">
        <v>514572087.50400746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151</v>
      </c>
      <c r="B54" t="s">
        <v>67</v>
      </c>
      <c r="C54" t="s">
        <v>85</v>
      </c>
      <c r="D54">
        <v>0</v>
      </c>
      <c r="E54">
        <v>2030</v>
      </c>
      <c r="F54" t="s">
        <v>27</v>
      </c>
      <c r="G54">
        <v>25170381.54227329</v>
      </c>
      <c r="H54">
        <v>0</v>
      </c>
      <c r="I54">
        <v>0</v>
      </c>
      <c r="J54">
        <v>0</v>
      </c>
      <c r="K54">
        <v>0</v>
      </c>
      <c r="L54">
        <v>20385129.269272327</v>
      </c>
      <c r="M54">
        <v>0</v>
      </c>
      <c r="N54">
        <v>0</v>
      </c>
      <c r="O54">
        <v>4785252.273000963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151</v>
      </c>
      <c r="B55" t="s">
        <v>50</v>
      </c>
      <c r="C55" t="s">
        <v>72</v>
      </c>
      <c r="D55">
        <v>1</v>
      </c>
      <c r="E55">
        <v>2030</v>
      </c>
      <c r="F55" t="s">
        <v>27</v>
      </c>
      <c r="G55">
        <v>1124875.4356381574</v>
      </c>
      <c r="H55">
        <v>0</v>
      </c>
      <c r="I55">
        <v>0</v>
      </c>
      <c r="J55">
        <v>0</v>
      </c>
      <c r="K55">
        <v>843656.57672861801</v>
      </c>
      <c r="L55">
        <v>0</v>
      </c>
      <c r="M55">
        <v>0</v>
      </c>
      <c r="N55">
        <v>0</v>
      </c>
      <c r="O55">
        <v>281218.85890953941</v>
      </c>
      <c r="P55">
        <v>281218.85890953941</v>
      </c>
      <c r="Q55">
        <v>843656.57672861801</v>
      </c>
      <c r="R55">
        <v>0.15973964518770092</v>
      </c>
      <c r="S55">
        <v>0.63895858075080358</v>
      </c>
      <c r="T55">
        <v>0.47921893556310263</v>
      </c>
      <c r="U55">
        <v>0.15973964518770095</v>
      </c>
      <c r="V55">
        <v>12025.871052299999</v>
      </c>
      <c r="W55">
        <v>48103.484209199989</v>
      </c>
      <c r="X55">
        <v>36077.613156899984</v>
      </c>
      <c r="Y55">
        <v>12025.871052300005</v>
      </c>
      <c r="Z55">
        <v>0</v>
      </c>
    </row>
    <row r="56" spans="1:26" x14ac:dyDescent="0.25">
      <c r="A56" t="s">
        <v>151</v>
      </c>
      <c r="B56" t="s">
        <v>49</v>
      </c>
      <c r="C56" t="s">
        <v>73</v>
      </c>
      <c r="D56">
        <v>1</v>
      </c>
      <c r="E56">
        <v>2030</v>
      </c>
      <c r="F56" t="s">
        <v>27</v>
      </c>
      <c r="G56">
        <v>2652925.8184588463</v>
      </c>
      <c r="H56">
        <v>0</v>
      </c>
      <c r="I56">
        <v>0</v>
      </c>
      <c r="J56">
        <v>0</v>
      </c>
      <c r="K56">
        <v>1989694.3638441348</v>
      </c>
      <c r="L56">
        <v>251080.47924699794</v>
      </c>
      <c r="M56">
        <v>0</v>
      </c>
      <c r="N56">
        <v>0</v>
      </c>
      <c r="O56">
        <v>412150.97536771372</v>
      </c>
      <c r="P56">
        <v>412150.97536771372</v>
      </c>
      <c r="Q56">
        <v>1989694.3638441348</v>
      </c>
      <c r="R56">
        <v>0.88777320094205536</v>
      </c>
      <c r="S56">
        <v>5.1735748606623213</v>
      </c>
      <c r="T56">
        <v>4.2858016597202662</v>
      </c>
      <c r="U56">
        <v>0.88777320094205514</v>
      </c>
      <c r="V56">
        <v>123645.29261031411</v>
      </c>
      <c r="W56">
        <v>720553.6017635545</v>
      </c>
      <c r="X56">
        <v>596908.30915324041</v>
      </c>
      <c r="Y56">
        <v>123645.29261031409</v>
      </c>
      <c r="Z56">
        <v>0</v>
      </c>
    </row>
    <row r="57" spans="1:26" x14ac:dyDescent="0.25">
      <c r="A57" t="s">
        <v>151</v>
      </c>
      <c r="B57" t="s">
        <v>59</v>
      </c>
      <c r="C57" t="s">
        <v>85</v>
      </c>
      <c r="D57">
        <v>0</v>
      </c>
      <c r="E57">
        <v>2030</v>
      </c>
      <c r="F57" t="s">
        <v>27</v>
      </c>
      <c r="G57">
        <v>792292.68109270581</v>
      </c>
      <c r="H57">
        <v>812348.75563371019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-20056.074541004375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1</v>
      </c>
    </row>
    <row r="58" spans="1:26" x14ac:dyDescent="0.25">
      <c r="A58" t="s">
        <v>151</v>
      </c>
      <c r="B58" t="s">
        <v>45</v>
      </c>
      <c r="C58" t="s">
        <v>73</v>
      </c>
      <c r="D58">
        <v>1</v>
      </c>
      <c r="E58">
        <v>2030</v>
      </c>
      <c r="F58" t="s">
        <v>27</v>
      </c>
      <c r="G58">
        <v>8342.726135545483</v>
      </c>
      <c r="H58">
        <v>0</v>
      </c>
      <c r="I58">
        <v>0</v>
      </c>
      <c r="J58">
        <v>0</v>
      </c>
      <c r="K58">
        <v>6257.0446016591122</v>
      </c>
      <c r="L58">
        <v>2085.6815338863707</v>
      </c>
      <c r="M58">
        <v>0</v>
      </c>
      <c r="N58">
        <v>0</v>
      </c>
      <c r="O58">
        <v>0</v>
      </c>
      <c r="P58">
        <v>0</v>
      </c>
      <c r="Q58">
        <v>6257.0446016591122</v>
      </c>
      <c r="R58">
        <v>0</v>
      </c>
      <c r="S58">
        <v>2.9426255057142638E-3</v>
      </c>
      <c r="T58">
        <v>2.9426255057142638E-3</v>
      </c>
      <c r="U58">
        <v>0</v>
      </c>
      <c r="V58">
        <v>0</v>
      </c>
      <c r="W58">
        <v>394.19380990452407</v>
      </c>
      <c r="X58">
        <v>394.19380990452407</v>
      </c>
      <c r="Y58">
        <v>0</v>
      </c>
      <c r="Z58">
        <v>0</v>
      </c>
    </row>
    <row r="59" spans="1:26" x14ac:dyDescent="0.25">
      <c r="A59" t="s">
        <v>151</v>
      </c>
      <c r="B59" t="s">
        <v>38</v>
      </c>
      <c r="C59" t="s">
        <v>85</v>
      </c>
      <c r="D59">
        <v>0</v>
      </c>
      <c r="E59">
        <v>2030</v>
      </c>
      <c r="F59" t="s">
        <v>27</v>
      </c>
      <c r="G59">
        <v>181628.8895635134</v>
      </c>
      <c r="H59">
        <v>0</v>
      </c>
      <c r="I59">
        <v>0</v>
      </c>
      <c r="J59">
        <v>28235.813279266553</v>
      </c>
      <c r="K59">
        <v>0</v>
      </c>
      <c r="L59">
        <v>0</v>
      </c>
      <c r="M59">
        <v>0</v>
      </c>
      <c r="N59">
        <v>0</v>
      </c>
      <c r="O59">
        <v>153393.07628424684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151</v>
      </c>
      <c r="B60" t="s">
        <v>74</v>
      </c>
      <c r="C60" t="s">
        <v>85</v>
      </c>
      <c r="D60">
        <v>0</v>
      </c>
      <c r="E60">
        <v>2030</v>
      </c>
      <c r="F60" t="s">
        <v>27</v>
      </c>
      <c r="G60">
        <v>1047364.6229885011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1047364.6229885011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151</v>
      </c>
      <c r="B61" t="s">
        <v>40</v>
      </c>
      <c r="C61" t="s">
        <v>85</v>
      </c>
      <c r="D61">
        <v>0</v>
      </c>
      <c r="E61">
        <v>2030</v>
      </c>
      <c r="F61" t="s">
        <v>27</v>
      </c>
      <c r="G61">
        <v>30356.126950347429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-227567.1674275682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151</v>
      </c>
      <c r="B62" t="s">
        <v>56</v>
      </c>
      <c r="C62" t="s">
        <v>56</v>
      </c>
      <c r="D62">
        <v>1</v>
      </c>
      <c r="E62">
        <v>2030</v>
      </c>
      <c r="F62" t="s">
        <v>27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151</v>
      </c>
      <c r="B63" t="s">
        <v>52</v>
      </c>
      <c r="C63" t="s">
        <v>75</v>
      </c>
      <c r="D63">
        <v>1</v>
      </c>
      <c r="E63">
        <v>2030</v>
      </c>
      <c r="F63" t="s">
        <v>27</v>
      </c>
      <c r="G63">
        <v>13710703.682220671</v>
      </c>
      <c r="H63">
        <v>11930939.715450084</v>
      </c>
      <c r="I63">
        <v>0</v>
      </c>
      <c r="J63">
        <v>0</v>
      </c>
      <c r="K63">
        <v>0</v>
      </c>
      <c r="L63">
        <v>0</v>
      </c>
      <c r="M63">
        <v>0</v>
      </c>
      <c r="N63">
        <v>2301995.9904044634</v>
      </c>
      <c r="O63">
        <v>-522232.02363387495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151</v>
      </c>
      <c r="B64" t="s">
        <v>60</v>
      </c>
      <c r="C64" t="s">
        <v>85</v>
      </c>
      <c r="D64">
        <v>0</v>
      </c>
      <c r="E64">
        <v>2030</v>
      </c>
      <c r="F64" t="s">
        <v>27</v>
      </c>
      <c r="G64">
        <v>384827.87367359991</v>
      </c>
      <c r="H64">
        <v>384827.87367359997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151</v>
      </c>
      <c r="B65" t="s">
        <v>29</v>
      </c>
      <c r="C65" t="s">
        <v>85</v>
      </c>
      <c r="D65">
        <v>0</v>
      </c>
      <c r="E65">
        <v>2030</v>
      </c>
      <c r="F65" t="s">
        <v>27</v>
      </c>
      <c r="G65">
        <v>596609.95089931972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326469.23731402913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 t="s">
        <v>151</v>
      </c>
      <c r="B66" t="s">
        <v>51</v>
      </c>
      <c r="C66" t="s">
        <v>76</v>
      </c>
      <c r="D66">
        <v>1</v>
      </c>
      <c r="E66">
        <v>2030</v>
      </c>
      <c r="F66" t="s">
        <v>27</v>
      </c>
      <c r="G66">
        <v>3333309.3882986144</v>
      </c>
      <c r="H66">
        <v>696107.27987490175</v>
      </c>
      <c r="I66">
        <v>726974.95402379602</v>
      </c>
      <c r="J66">
        <v>0</v>
      </c>
      <c r="K66">
        <v>0</v>
      </c>
      <c r="L66">
        <v>0</v>
      </c>
      <c r="M66">
        <v>141912.4984348095</v>
      </c>
      <c r="N66">
        <v>1768314.655965107</v>
      </c>
      <c r="O66">
        <v>0</v>
      </c>
      <c r="P66">
        <v>0</v>
      </c>
      <c r="Q66">
        <v>141912.4984348095</v>
      </c>
      <c r="R66">
        <v>0</v>
      </c>
      <c r="S66">
        <v>1.4667801009248997</v>
      </c>
      <c r="T66">
        <v>0</v>
      </c>
      <c r="U66">
        <v>1.4667801009248997</v>
      </c>
      <c r="V66">
        <v>0</v>
      </c>
      <c r="W66">
        <v>120625.62366958808</v>
      </c>
      <c r="X66">
        <v>0</v>
      </c>
      <c r="Y66">
        <v>120625.62366958808</v>
      </c>
      <c r="Z66">
        <v>0</v>
      </c>
    </row>
    <row r="67" spans="1:26" x14ac:dyDescent="0.25">
      <c r="A67" t="s">
        <v>151</v>
      </c>
      <c r="B67" t="s">
        <v>55</v>
      </c>
      <c r="C67" t="s">
        <v>72</v>
      </c>
      <c r="D67">
        <v>1</v>
      </c>
      <c r="E67">
        <v>2030</v>
      </c>
      <c r="F67" t="s">
        <v>27</v>
      </c>
      <c r="G67">
        <v>526734.10986839118</v>
      </c>
      <c r="H67">
        <v>0</v>
      </c>
      <c r="I67">
        <v>0</v>
      </c>
      <c r="J67">
        <v>0</v>
      </c>
      <c r="K67">
        <v>401960.68859899876</v>
      </c>
      <c r="L67">
        <v>0</v>
      </c>
      <c r="M67">
        <v>124773.42126939242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2.9100400181094281</v>
      </c>
      <c r="T67">
        <v>0.68255738648930186</v>
      </c>
      <c r="U67">
        <v>2.2274826316201262</v>
      </c>
      <c r="V67">
        <v>0</v>
      </c>
      <c r="W67">
        <v>158020.23296051734</v>
      </c>
      <c r="X67">
        <v>120588.20657969962</v>
      </c>
      <c r="Y67">
        <v>37432.026380817726</v>
      </c>
      <c r="Z67">
        <v>0</v>
      </c>
    </row>
    <row r="68" spans="1:26" x14ac:dyDescent="0.25">
      <c r="A68" t="s">
        <v>151</v>
      </c>
      <c r="B68" t="s">
        <v>62</v>
      </c>
      <c r="C68" t="s">
        <v>85</v>
      </c>
      <c r="D68">
        <v>0</v>
      </c>
      <c r="E68">
        <v>2030</v>
      </c>
      <c r="F68" t="s">
        <v>27</v>
      </c>
      <c r="G68">
        <v>0</v>
      </c>
      <c r="H68">
        <v>2414213.7695228113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-2414213.7695228113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151</v>
      </c>
      <c r="B69" t="s">
        <v>48</v>
      </c>
      <c r="C69" t="s">
        <v>72</v>
      </c>
      <c r="D69">
        <v>1</v>
      </c>
      <c r="E69">
        <v>2030</v>
      </c>
      <c r="F69" t="s">
        <v>27</v>
      </c>
      <c r="G69">
        <v>523057.42126360437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523057.42126360437</v>
      </c>
      <c r="P69">
        <v>523057.42126360437</v>
      </c>
      <c r="Q69">
        <v>0</v>
      </c>
      <c r="R69">
        <v>2.2664758037999624</v>
      </c>
      <c r="S69">
        <v>2.2664758037999624</v>
      </c>
      <c r="T69">
        <v>0</v>
      </c>
      <c r="U69">
        <v>2.2664758037999624</v>
      </c>
      <c r="V69">
        <v>219684.11693071382</v>
      </c>
      <c r="W69">
        <v>219684.11693071382</v>
      </c>
      <c r="X69">
        <v>0</v>
      </c>
      <c r="Y69">
        <v>219684.11693071382</v>
      </c>
      <c r="Z69">
        <v>0</v>
      </c>
    </row>
    <row r="70" spans="1:26" x14ac:dyDescent="0.25">
      <c r="A70" t="s">
        <v>151</v>
      </c>
      <c r="B70" t="s">
        <v>77</v>
      </c>
      <c r="C70" t="s">
        <v>85</v>
      </c>
      <c r="D70">
        <v>0</v>
      </c>
      <c r="E70">
        <v>2030</v>
      </c>
      <c r="F70" t="s">
        <v>27</v>
      </c>
      <c r="G70">
        <v>673896.93223460356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673896.93223460356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151</v>
      </c>
      <c r="B71" t="s">
        <v>30</v>
      </c>
      <c r="C71" t="s">
        <v>85</v>
      </c>
      <c r="D71">
        <v>0</v>
      </c>
      <c r="E71">
        <v>2030</v>
      </c>
      <c r="F71" t="s">
        <v>27</v>
      </c>
      <c r="G71">
        <v>1663123.8527888369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1539592.1696920458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151</v>
      </c>
      <c r="B72" t="s">
        <v>28</v>
      </c>
      <c r="C72" t="s">
        <v>76</v>
      </c>
      <c r="D72">
        <v>1</v>
      </c>
      <c r="E72">
        <v>2030</v>
      </c>
      <c r="F72" t="s">
        <v>27</v>
      </c>
      <c r="G72">
        <v>5671034.2204297939</v>
      </c>
      <c r="H72">
        <v>5880011.5738482485</v>
      </c>
      <c r="I72">
        <v>0</v>
      </c>
      <c r="J72">
        <v>295933.04302308214</v>
      </c>
      <c r="K72">
        <v>0</v>
      </c>
      <c r="L72">
        <v>0</v>
      </c>
      <c r="M72">
        <v>0</v>
      </c>
      <c r="N72">
        <v>0</v>
      </c>
      <c r="O72">
        <v>-504910.39644153696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151</v>
      </c>
      <c r="B73" t="s">
        <v>68</v>
      </c>
      <c r="C73" t="s">
        <v>85</v>
      </c>
      <c r="D73">
        <v>0</v>
      </c>
      <c r="E73">
        <v>2030</v>
      </c>
      <c r="F73" t="s">
        <v>27</v>
      </c>
      <c r="G73">
        <v>0</v>
      </c>
      <c r="H73">
        <v>0</v>
      </c>
      <c r="I73">
        <v>0</v>
      </c>
      <c r="J73">
        <v>0</v>
      </c>
      <c r="K73">
        <v>0</v>
      </c>
      <c r="L73">
        <v>555777.04073422437</v>
      </c>
      <c r="M73">
        <v>0</v>
      </c>
      <c r="N73">
        <v>0</v>
      </c>
      <c r="O73">
        <v>-555777.04073422437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151</v>
      </c>
      <c r="B74" t="s">
        <v>44</v>
      </c>
      <c r="C74" t="s">
        <v>73</v>
      </c>
      <c r="D74">
        <v>1</v>
      </c>
      <c r="E74">
        <v>2030</v>
      </c>
      <c r="F74" t="s">
        <v>27</v>
      </c>
      <c r="G74">
        <v>12983496.711335782</v>
      </c>
      <c r="H74">
        <v>0</v>
      </c>
      <c r="I74">
        <v>0</v>
      </c>
      <c r="J74">
        <v>0</v>
      </c>
      <c r="K74">
        <v>9737622.5335018374</v>
      </c>
      <c r="L74">
        <v>3245874.1778339455</v>
      </c>
      <c r="M74">
        <v>0</v>
      </c>
      <c r="N74">
        <v>0</v>
      </c>
      <c r="O74">
        <v>0</v>
      </c>
      <c r="P74">
        <v>0</v>
      </c>
      <c r="Q74">
        <v>9737622.5335018374</v>
      </c>
      <c r="R74">
        <v>0</v>
      </c>
      <c r="S74">
        <v>4.929087150233296</v>
      </c>
      <c r="T74">
        <v>4.929087150233296</v>
      </c>
      <c r="U74">
        <v>0</v>
      </c>
      <c r="V74">
        <v>0</v>
      </c>
      <c r="W74">
        <v>740059.31254613958</v>
      </c>
      <c r="X74">
        <v>740059.31254613958</v>
      </c>
      <c r="Y74">
        <v>0</v>
      </c>
      <c r="Z74">
        <v>0</v>
      </c>
    </row>
    <row r="75" spans="1:26" x14ac:dyDescent="0.25">
      <c r="A75" t="s">
        <v>151</v>
      </c>
      <c r="B75" t="s">
        <v>58</v>
      </c>
      <c r="C75" t="s">
        <v>85</v>
      </c>
      <c r="D75">
        <v>0</v>
      </c>
      <c r="E75">
        <v>2030</v>
      </c>
      <c r="F75" t="s">
        <v>27</v>
      </c>
      <c r="G75">
        <v>1620993.8653666629</v>
      </c>
      <c r="H75">
        <v>1373162.6504626232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247831.21490403963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151</v>
      </c>
      <c r="B76" t="s">
        <v>53</v>
      </c>
      <c r="C76" t="s">
        <v>75</v>
      </c>
      <c r="D76">
        <v>1</v>
      </c>
      <c r="E76">
        <v>2030</v>
      </c>
      <c r="F76" t="s">
        <v>27</v>
      </c>
      <c r="G76">
        <v>6011916.1321173599</v>
      </c>
      <c r="H76">
        <v>5742281.5453988183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269634.58671854157</v>
      </c>
      <c r="P76">
        <v>269634.58671854157</v>
      </c>
      <c r="Q76">
        <v>0</v>
      </c>
      <c r="R76">
        <v>0.9679881663195643</v>
      </c>
      <c r="S76">
        <v>0.9679881663195643</v>
      </c>
      <c r="T76">
        <v>0</v>
      </c>
      <c r="U76">
        <v>0.9679881663195643</v>
      </c>
      <c r="V76">
        <v>80890.376015562462</v>
      </c>
      <c r="W76">
        <v>80890.376015562462</v>
      </c>
      <c r="X76">
        <v>0</v>
      </c>
      <c r="Y76">
        <v>80890.376015562462</v>
      </c>
      <c r="Z76">
        <v>0</v>
      </c>
    </row>
    <row r="77" spans="1:26" x14ac:dyDescent="0.25">
      <c r="A77" t="s">
        <v>151</v>
      </c>
      <c r="B77" t="s">
        <v>37</v>
      </c>
      <c r="C77" t="s">
        <v>85</v>
      </c>
      <c r="D77">
        <v>0</v>
      </c>
      <c r="E77">
        <v>2030</v>
      </c>
      <c r="F77" t="s">
        <v>27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151</v>
      </c>
      <c r="B78" t="s">
        <v>34</v>
      </c>
      <c r="C78" t="s">
        <v>78</v>
      </c>
      <c r="D78">
        <v>1</v>
      </c>
      <c r="E78">
        <v>2030</v>
      </c>
      <c r="F78" t="s">
        <v>27</v>
      </c>
      <c r="G78">
        <v>209595.14629167612</v>
      </c>
      <c r="H78">
        <v>140728.27827159571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68866.868020080408</v>
      </c>
      <c r="P78">
        <v>68866.868020080408</v>
      </c>
      <c r="Q78">
        <v>0</v>
      </c>
      <c r="R78">
        <v>6.1808014048022171E-2</v>
      </c>
      <c r="S78">
        <v>6.1808014048022171E-2</v>
      </c>
      <c r="T78">
        <v>0</v>
      </c>
      <c r="U78">
        <v>6.1808014048022171E-2</v>
      </c>
      <c r="V78">
        <v>10330.03020301206</v>
      </c>
      <c r="W78">
        <v>10330.03020301206</v>
      </c>
      <c r="X78">
        <v>0</v>
      </c>
      <c r="Y78">
        <v>10330.03020301206</v>
      </c>
      <c r="Z78">
        <v>0</v>
      </c>
    </row>
    <row r="79" spans="1:26" x14ac:dyDescent="0.25">
      <c r="A79" t="s">
        <v>151</v>
      </c>
      <c r="B79" t="s">
        <v>32</v>
      </c>
      <c r="C79" t="s">
        <v>85</v>
      </c>
      <c r="D79">
        <v>0</v>
      </c>
      <c r="E79">
        <v>2030</v>
      </c>
      <c r="F79" t="s">
        <v>27</v>
      </c>
      <c r="G79">
        <v>106168.13854148486</v>
      </c>
      <c r="H79">
        <v>0</v>
      </c>
      <c r="I79">
        <v>0</v>
      </c>
      <c r="J79">
        <v>48022.602431121806</v>
      </c>
      <c r="K79">
        <v>0</v>
      </c>
      <c r="L79">
        <v>0</v>
      </c>
      <c r="M79">
        <v>0</v>
      </c>
      <c r="N79">
        <v>0</v>
      </c>
      <c r="O79">
        <v>58145.536110363057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151</v>
      </c>
      <c r="B80" t="s">
        <v>79</v>
      </c>
      <c r="C80" t="s">
        <v>85</v>
      </c>
      <c r="D80">
        <v>0</v>
      </c>
      <c r="E80">
        <v>2030</v>
      </c>
      <c r="F80" t="s">
        <v>27</v>
      </c>
      <c r="G80">
        <v>1478250.7388156422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1478250.7388156422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151</v>
      </c>
      <c r="B81" t="s">
        <v>64</v>
      </c>
      <c r="C81" t="s">
        <v>80</v>
      </c>
      <c r="D81">
        <v>1</v>
      </c>
      <c r="E81">
        <v>2030</v>
      </c>
      <c r="F81" t="s">
        <v>27</v>
      </c>
      <c r="G81">
        <v>140377.4029294425</v>
      </c>
      <c r="H81">
        <v>0</v>
      </c>
      <c r="I81">
        <v>0</v>
      </c>
      <c r="J81">
        <v>0</v>
      </c>
      <c r="K81">
        <v>0</v>
      </c>
      <c r="L81">
        <v>0</v>
      </c>
      <c r="M81">
        <v>140377.4029294425</v>
      </c>
      <c r="N81">
        <v>0</v>
      </c>
      <c r="O81">
        <v>0</v>
      </c>
      <c r="P81">
        <v>0</v>
      </c>
      <c r="Q81">
        <v>140377.4029294425</v>
      </c>
      <c r="R81">
        <v>0</v>
      </c>
      <c r="S81">
        <v>2.5829442139017416</v>
      </c>
      <c r="T81">
        <v>0</v>
      </c>
      <c r="U81">
        <v>2.5829442139017416</v>
      </c>
      <c r="V81">
        <v>0</v>
      </c>
      <c r="W81">
        <v>58256.622215718642</v>
      </c>
      <c r="X81">
        <v>0</v>
      </c>
      <c r="Y81">
        <v>58256.622215718642</v>
      </c>
      <c r="Z81">
        <v>0</v>
      </c>
    </row>
    <row r="82" spans="1:26" x14ac:dyDescent="0.25">
      <c r="A82" t="s">
        <v>151</v>
      </c>
      <c r="B82" t="s">
        <v>137</v>
      </c>
      <c r="C82" t="s">
        <v>139</v>
      </c>
      <c r="D82">
        <v>1</v>
      </c>
      <c r="E82">
        <v>2030</v>
      </c>
      <c r="F82" t="s">
        <v>27</v>
      </c>
      <c r="G82">
        <v>990256.20734046004</v>
      </c>
      <c r="H82">
        <v>0</v>
      </c>
      <c r="I82">
        <v>0</v>
      </c>
      <c r="J82">
        <v>0</v>
      </c>
      <c r="K82">
        <v>0</v>
      </c>
      <c r="L82">
        <v>0</v>
      </c>
      <c r="M82">
        <v>990256.20734046004</v>
      </c>
      <c r="N82">
        <v>0</v>
      </c>
      <c r="O82">
        <v>0</v>
      </c>
      <c r="P82">
        <v>0</v>
      </c>
      <c r="Q82">
        <v>990256.20734046004</v>
      </c>
      <c r="R82">
        <v>0</v>
      </c>
      <c r="S82">
        <v>8.8741102694952918</v>
      </c>
      <c r="T82">
        <v>0</v>
      </c>
      <c r="U82">
        <v>8.8741102694952918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151</v>
      </c>
      <c r="B83" t="s">
        <v>138</v>
      </c>
      <c r="C83" t="s">
        <v>139</v>
      </c>
      <c r="D83">
        <v>1</v>
      </c>
      <c r="E83">
        <v>2030</v>
      </c>
      <c r="F83" t="s">
        <v>27</v>
      </c>
      <c r="G83">
        <v>247564.05183511501</v>
      </c>
      <c r="H83">
        <v>0</v>
      </c>
      <c r="I83">
        <v>0</v>
      </c>
      <c r="J83">
        <v>0</v>
      </c>
      <c r="K83">
        <v>0</v>
      </c>
      <c r="L83">
        <v>0</v>
      </c>
      <c r="M83">
        <v>247564.05183511501</v>
      </c>
      <c r="N83">
        <v>0</v>
      </c>
      <c r="O83">
        <v>0</v>
      </c>
      <c r="P83">
        <v>0</v>
      </c>
      <c r="Q83">
        <v>247564.05183511501</v>
      </c>
      <c r="R83">
        <v>0</v>
      </c>
      <c r="S83">
        <v>8.2361023416230807</v>
      </c>
      <c r="T83">
        <v>0</v>
      </c>
      <c r="U83">
        <v>8.2361023416230807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151</v>
      </c>
      <c r="B84" t="s">
        <v>81</v>
      </c>
      <c r="C84" t="s">
        <v>85</v>
      </c>
      <c r="D84">
        <v>0</v>
      </c>
      <c r="E84">
        <v>2030</v>
      </c>
      <c r="F84" t="s">
        <v>27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151</v>
      </c>
      <c r="B85" t="s">
        <v>71</v>
      </c>
      <c r="C85" t="s">
        <v>85</v>
      </c>
      <c r="D85">
        <v>0</v>
      </c>
      <c r="E85">
        <v>2030</v>
      </c>
      <c r="F85" t="s">
        <v>27</v>
      </c>
      <c r="G85">
        <v>502113.96933686273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502113.96933686273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151</v>
      </c>
      <c r="B86" t="s">
        <v>57</v>
      </c>
      <c r="C86" t="s">
        <v>85</v>
      </c>
      <c r="D86">
        <v>0</v>
      </c>
      <c r="E86">
        <v>2030</v>
      </c>
      <c r="F86" t="s">
        <v>27</v>
      </c>
      <c r="G86">
        <v>251056.98466843137</v>
      </c>
      <c r="H86">
        <v>262373.56843565725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-11316.583767225879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151</v>
      </c>
      <c r="B87" t="s">
        <v>63</v>
      </c>
      <c r="C87" t="s">
        <v>63</v>
      </c>
      <c r="D87">
        <v>1</v>
      </c>
      <c r="E87">
        <v>2030</v>
      </c>
      <c r="F87" t="s">
        <v>27</v>
      </c>
      <c r="G87">
        <v>160676.47018779608</v>
      </c>
      <c r="H87">
        <v>0</v>
      </c>
      <c r="I87">
        <v>0</v>
      </c>
      <c r="J87">
        <v>0</v>
      </c>
      <c r="K87">
        <v>0</v>
      </c>
      <c r="L87">
        <v>0</v>
      </c>
      <c r="M87">
        <v>160676.47018779608</v>
      </c>
      <c r="N87">
        <v>0</v>
      </c>
      <c r="O87">
        <v>0</v>
      </c>
      <c r="P87">
        <v>0</v>
      </c>
      <c r="Q87">
        <v>160676.47018779608</v>
      </c>
      <c r="R87">
        <v>0</v>
      </c>
      <c r="S87">
        <v>5.6236764565728619</v>
      </c>
      <c r="T87">
        <v>0</v>
      </c>
      <c r="U87">
        <v>5.6236764565728619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151</v>
      </c>
      <c r="B88" t="s">
        <v>54</v>
      </c>
      <c r="C88" t="s">
        <v>75</v>
      </c>
      <c r="D88">
        <v>1</v>
      </c>
      <c r="E88">
        <v>2030</v>
      </c>
      <c r="F88" t="s">
        <v>27</v>
      </c>
      <c r="G88">
        <v>1881571.365060173</v>
      </c>
      <c r="H88">
        <v>1824139.6252331052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57431.739827067824</v>
      </c>
      <c r="P88">
        <v>57431.739827067824</v>
      </c>
      <c r="Q88">
        <v>0</v>
      </c>
      <c r="R88">
        <v>0.15587203916025516</v>
      </c>
      <c r="S88">
        <v>0.15587203916025516</v>
      </c>
      <c r="T88">
        <v>0</v>
      </c>
      <c r="U88">
        <v>0.15587203916025516</v>
      </c>
      <c r="V88">
        <v>11486.347965413566</v>
      </c>
      <c r="W88">
        <v>11486.347965413566</v>
      </c>
      <c r="X88">
        <v>0</v>
      </c>
      <c r="Y88">
        <v>11486.347965413566</v>
      </c>
      <c r="Z88">
        <v>0</v>
      </c>
    </row>
    <row r="89" spans="1:26" x14ac:dyDescent="0.25">
      <c r="A89" t="s">
        <v>151</v>
      </c>
      <c r="B89" t="s">
        <v>82</v>
      </c>
      <c r="C89" t="s">
        <v>85</v>
      </c>
      <c r="D89">
        <v>0</v>
      </c>
      <c r="E89">
        <v>2030</v>
      </c>
      <c r="F89" t="s">
        <v>27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151</v>
      </c>
      <c r="B90" t="s">
        <v>61</v>
      </c>
      <c r="C90" t="s">
        <v>85</v>
      </c>
      <c r="D90">
        <v>0</v>
      </c>
      <c r="E90">
        <v>2030</v>
      </c>
      <c r="F90" t="s">
        <v>27</v>
      </c>
      <c r="G90">
        <v>129693.32771377628</v>
      </c>
      <c r="H90">
        <v>43293.135788279993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86400.191925496285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151</v>
      </c>
      <c r="B91" t="s">
        <v>46</v>
      </c>
      <c r="C91" t="s">
        <v>72</v>
      </c>
      <c r="D91">
        <v>1</v>
      </c>
      <c r="E91">
        <v>2030</v>
      </c>
      <c r="F91" t="s">
        <v>27</v>
      </c>
      <c r="G91">
        <v>3973910.9975047</v>
      </c>
      <c r="H91">
        <v>0</v>
      </c>
      <c r="I91">
        <v>0</v>
      </c>
      <c r="J91">
        <v>0</v>
      </c>
      <c r="K91">
        <v>2980433.248128525</v>
      </c>
      <c r="L91">
        <v>0</v>
      </c>
      <c r="M91">
        <v>0</v>
      </c>
      <c r="N91">
        <v>0</v>
      </c>
      <c r="O91">
        <v>993477.74937617499</v>
      </c>
      <c r="P91">
        <v>993477.74937617499</v>
      </c>
      <c r="Q91">
        <v>2980433.248128525</v>
      </c>
      <c r="R91">
        <v>0.49575533171620517</v>
      </c>
      <c r="S91">
        <v>1.9830213268648207</v>
      </c>
      <c r="T91">
        <v>1.4872659951486156</v>
      </c>
      <c r="U91">
        <v>0.49575533171620512</v>
      </c>
      <c r="V91">
        <v>59608.664962570496</v>
      </c>
      <c r="W91">
        <v>238434.65985028198</v>
      </c>
      <c r="X91">
        <v>178825.99488771148</v>
      </c>
      <c r="Y91">
        <v>59608.664962570503</v>
      </c>
      <c r="Z91">
        <v>0</v>
      </c>
    </row>
    <row r="92" spans="1:26" x14ac:dyDescent="0.25">
      <c r="A92" t="s">
        <v>151</v>
      </c>
      <c r="B92" t="s">
        <v>43</v>
      </c>
      <c r="C92" t="s">
        <v>73</v>
      </c>
      <c r="D92">
        <v>1</v>
      </c>
      <c r="E92">
        <v>2030</v>
      </c>
      <c r="F92" t="s">
        <v>27</v>
      </c>
      <c r="G92">
        <v>15074833.175881069</v>
      </c>
      <c r="H92">
        <v>0</v>
      </c>
      <c r="I92">
        <v>0</v>
      </c>
      <c r="J92">
        <v>0</v>
      </c>
      <c r="K92">
        <v>11306124.881910801</v>
      </c>
      <c r="L92">
        <v>3768708.2939702673</v>
      </c>
      <c r="M92">
        <v>0</v>
      </c>
      <c r="N92">
        <v>0</v>
      </c>
      <c r="O92">
        <v>0</v>
      </c>
      <c r="P92">
        <v>0</v>
      </c>
      <c r="Q92">
        <v>11306124.881910801</v>
      </c>
      <c r="R92">
        <v>0</v>
      </c>
      <c r="S92">
        <v>4.8706785991271735</v>
      </c>
      <c r="T92">
        <v>4.8706785991271735</v>
      </c>
      <c r="U92">
        <v>0</v>
      </c>
      <c r="V92">
        <v>0</v>
      </c>
      <c r="W92">
        <v>565306.24409554002</v>
      </c>
      <c r="X92">
        <v>565306.24409554002</v>
      </c>
      <c r="Y92">
        <v>0</v>
      </c>
      <c r="Z92">
        <v>0</v>
      </c>
    </row>
    <row r="93" spans="1:26" x14ac:dyDescent="0.25">
      <c r="A93" t="s">
        <v>151</v>
      </c>
      <c r="B93" t="s">
        <v>31</v>
      </c>
      <c r="C93" t="s">
        <v>85</v>
      </c>
      <c r="D93">
        <v>0</v>
      </c>
      <c r="E93">
        <v>2030</v>
      </c>
      <c r="F93" t="s">
        <v>27</v>
      </c>
      <c r="G93">
        <v>1378013.0257817972</v>
      </c>
      <c r="H93">
        <v>0</v>
      </c>
      <c r="I93">
        <v>0</v>
      </c>
      <c r="J93">
        <v>97500.435238944279</v>
      </c>
      <c r="K93">
        <v>0</v>
      </c>
      <c r="L93">
        <v>0</v>
      </c>
      <c r="M93">
        <v>0</v>
      </c>
      <c r="N93">
        <v>0</v>
      </c>
      <c r="O93">
        <v>1280512.5905428529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151</v>
      </c>
      <c r="B94" t="s">
        <v>35</v>
      </c>
      <c r="C94" t="s">
        <v>78</v>
      </c>
      <c r="D94">
        <v>1</v>
      </c>
      <c r="E94">
        <v>2030</v>
      </c>
      <c r="F94" t="s">
        <v>27</v>
      </c>
      <c r="G94">
        <v>84600</v>
      </c>
      <c r="H94">
        <v>97268.074687720582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-12668.074687720582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25">
      <c r="A95" t="s">
        <v>151</v>
      </c>
      <c r="B95" t="s">
        <v>83</v>
      </c>
      <c r="C95" t="s">
        <v>85</v>
      </c>
      <c r="D95">
        <v>1</v>
      </c>
      <c r="E95">
        <v>2030</v>
      </c>
      <c r="F95" t="s">
        <v>27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151</v>
      </c>
      <c r="B96" t="s">
        <v>65</v>
      </c>
      <c r="C96" t="s">
        <v>80</v>
      </c>
      <c r="D96">
        <v>1</v>
      </c>
      <c r="E96">
        <v>2030</v>
      </c>
      <c r="F96" t="s">
        <v>27</v>
      </c>
      <c r="G96">
        <v>2234973.865453063</v>
      </c>
      <c r="H96">
        <v>0</v>
      </c>
      <c r="I96">
        <v>0</v>
      </c>
      <c r="J96">
        <v>0</v>
      </c>
      <c r="K96">
        <v>0</v>
      </c>
      <c r="L96">
        <v>0</v>
      </c>
      <c r="M96">
        <v>2234973.865453063</v>
      </c>
      <c r="N96">
        <v>0</v>
      </c>
      <c r="O96">
        <v>0</v>
      </c>
      <c r="P96">
        <v>0</v>
      </c>
      <c r="Q96">
        <v>2234973.865453063</v>
      </c>
      <c r="R96">
        <v>0</v>
      </c>
      <c r="S96">
        <v>32.392747710376121</v>
      </c>
      <c r="T96">
        <v>0</v>
      </c>
      <c r="U96">
        <v>32.392747710376121</v>
      </c>
      <c r="V96">
        <v>0</v>
      </c>
      <c r="W96">
        <v>1105380.8242886607</v>
      </c>
      <c r="X96">
        <v>0</v>
      </c>
      <c r="Y96">
        <v>1105380.8242886607</v>
      </c>
      <c r="Z96">
        <v>0</v>
      </c>
    </row>
    <row r="97" spans="1:26" x14ac:dyDescent="0.25">
      <c r="A97" t="s">
        <v>151</v>
      </c>
      <c r="B97" t="s">
        <v>84</v>
      </c>
      <c r="C97" t="s">
        <v>85</v>
      </c>
      <c r="D97">
        <v>0</v>
      </c>
      <c r="E97">
        <v>2030</v>
      </c>
      <c r="F97" t="s">
        <v>27</v>
      </c>
      <c r="G97">
        <v>616440.47585147235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616440.47585147235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151</v>
      </c>
      <c r="B98" t="s">
        <v>39</v>
      </c>
      <c r="C98" t="s">
        <v>85</v>
      </c>
      <c r="D98">
        <v>0</v>
      </c>
      <c r="E98">
        <v>2050</v>
      </c>
      <c r="F98" t="s">
        <v>27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151</v>
      </c>
      <c r="B99" t="s">
        <v>33</v>
      </c>
      <c r="C99" t="s">
        <v>85</v>
      </c>
      <c r="D99">
        <v>0</v>
      </c>
      <c r="E99">
        <v>2050</v>
      </c>
      <c r="F99" t="s">
        <v>27</v>
      </c>
      <c r="G99">
        <v>238133.0723831506</v>
      </c>
      <c r="H99">
        <v>64498.475475191975</v>
      </c>
      <c r="I99">
        <v>0</v>
      </c>
      <c r="J99">
        <v>90266.583697186172</v>
      </c>
      <c r="K99">
        <v>0</v>
      </c>
      <c r="L99">
        <v>0</v>
      </c>
      <c r="M99">
        <v>0</v>
      </c>
      <c r="N99">
        <v>0</v>
      </c>
      <c r="O99">
        <v>83368.013210772449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151</v>
      </c>
      <c r="B100" t="s">
        <v>47</v>
      </c>
      <c r="C100" t="s">
        <v>72</v>
      </c>
      <c r="D100">
        <v>1</v>
      </c>
      <c r="E100">
        <v>2050</v>
      </c>
      <c r="F100" t="s">
        <v>27</v>
      </c>
      <c r="G100">
        <v>197484.13479984918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197484.13479984918</v>
      </c>
      <c r="N100">
        <v>0</v>
      </c>
      <c r="O100">
        <v>0</v>
      </c>
      <c r="P100">
        <v>0</v>
      </c>
      <c r="Q100">
        <v>197484.13479984918</v>
      </c>
      <c r="R100">
        <v>0</v>
      </c>
      <c r="S100">
        <v>3.5255303237813815</v>
      </c>
      <c r="T100">
        <v>0</v>
      </c>
      <c r="U100">
        <v>3.5255303237813815</v>
      </c>
      <c r="V100">
        <v>0</v>
      </c>
      <c r="W100">
        <v>55295.557743957776</v>
      </c>
      <c r="X100">
        <v>0</v>
      </c>
      <c r="Y100">
        <v>55295.557743957776</v>
      </c>
      <c r="Z100">
        <v>0</v>
      </c>
    </row>
    <row r="101" spans="1:26" x14ac:dyDescent="0.25">
      <c r="A101" t="s">
        <v>151</v>
      </c>
      <c r="B101" t="s">
        <v>11</v>
      </c>
      <c r="C101" t="s">
        <v>85</v>
      </c>
      <c r="D101">
        <v>1</v>
      </c>
      <c r="E101">
        <v>2050</v>
      </c>
      <c r="F101" t="s">
        <v>27</v>
      </c>
      <c r="G101">
        <v>617087134.44824624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617087134.44824624</v>
      </c>
      <c r="N101">
        <v>0</v>
      </c>
      <c r="O101">
        <v>0</v>
      </c>
      <c r="P101">
        <v>0</v>
      </c>
      <c r="Q101">
        <v>617087134.44824624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151</v>
      </c>
      <c r="B102" t="s">
        <v>67</v>
      </c>
      <c r="C102" t="s">
        <v>85</v>
      </c>
      <c r="D102">
        <v>0</v>
      </c>
      <c r="E102">
        <v>2050</v>
      </c>
      <c r="F102" t="s">
        <v>27</v>
      </c>
      <c r="G102">
        <v>30222252.570254702</v>
      </c>
      <c r="H102">
        <v>0</v>
      </c>
      <c r="I102">
        <v>0</v>
      </c>
      <c r="J102">
        <v>0</v>
      </c>
      <c r="K102">
        <v>0</v>
      </c>
      <c r="L102">
        <v>24127415.151843689</v>
      </c>
      <c r="M102">
        <v>0</v>
      </c>
      <c r="N102">
        <v>0</v>
      </c>
      <c r="O102">
        <v>6094837.4184110127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151</v>
      </c>
      <c r="B103" t="s">
        <v>50</v>
      </c>
      <c r="C103" t="s">
        <v>72</v>
      </c>
      <c r="D103">
        <v>1</v>
      </c>
      <c r="E103">
        <v>2050</v>
      </c>
      <c r="F103" t="s">
        <v>27</v>
      </c>
      <c r="G103">
        <v>1743556.9252391441</v>
      </c>
      <c r="H103">
        <v>0</v>
      </c>
      <c r="I103">
        <v>0</v>
      </c>
      <c r="J103">
        <v>0</v>
      </c>
      <c r="K103">
        <v>1569201.2327152297</v>
      </c>
      <c r="L103">
        <v>0</v>
      </c>
      <c r="M103">
        <v>0</v>
      </c>
      <c r="N103">
        <v>0</v>
      </c>
      <c r="O103">
        <v>174355.69252391439</v>
      </c>
      <c r="P103">
        <v>174355.69252391439</v>
      </c>
      <c r="Q103">
        <v>1569201.2327152297</v>
      </c>
      <c r="R103">
        <v>9.9038580016374542E-2</v>
      </c>
      <c r="S103">
        <v>0.99038580016374556</v>
      </c>
      <c r="T103">
        <v>0.891347220147371</v>
      </c>
      <c r="U103">
        <v>9.9038580016374556E-2</v>
      </c>
      <c r="V103">
        <v>7456.0400524259976</v>
      </c>
      <c r="W103">
        <v>74560.400524259981</v>
      </c>
      <c r="X103">
        <v>67104.360471833992</v>
      </c>
      <c r="Y103">
        <v>7456.0400524259894</v>
      </c>
      <c r="Z103">
        <v>0</v>
      </c>
    </row>
    <row r="104" spans="1:26" x14ac:dyDescent="0.25">
      <c r="A104" t="s">
        <v>151</v>
      </c>
      <c r="B104" t="s">
        <v>49</v>
      </c>
      <c r="C104" t="s">
        <v>73</v>
      </c>
      <c r="D104">
        <v>1</v>
      </c>
      <c r="E104">
        <v>2050</v>
      </c>
      <c r="F104" t="s">
        <v>27</v>
      </c>
      <c r="G104">
        <v>2777977.7276885756</v>
      </c>
      <c r="H104">
        <v>0</v>
      </c>
      <c r="I104">
        <v>0</v>
      </c>
      <c r="J104">
        <v>0</v>
      </c>
      <c r="K104">
        <v>2500179.9549197182</v>
      </c>
      <c r="L104">
        <v>105166.29969106747</v>
      </c>
      <c r="M104">
        <v>0</v>
      </c>
      <c r="N104">
        <v>0</v>
      </c>
      <c r="O104">
        <v>172631.47307778988</v>
      </c>
      <c r="P104">
        <v>172631.47307778988</v>
      </c>
      <c r="Q104">
        <v>2500179.9549197182</v>
      </c>
      <c r="R104">
        <v>0.3718481930095594</v>
      </c>
      <c r="S104">
        <v>5.7572358159066326</v>
      </c>
      <c r="T104">
        <v>5.3853876228970732</v>
      </c>
      <c r="U104">
        <v>0.3718481930095594</v>
      </c>
      <c r="V104">
        <v>51789.441923336963</v>
      </c>
      <c r="W104">
        <v>801843.42839925236</v>
      </c>
      <c r="X104">
        <v>750053.98647591542</v>
      </c>
      <c r="Y104">
        <v>51789.441923336941</v>
      </c>
      <c r="Z104">
        <v>0</v>
      </c>
    </row>
    <row r="105" spans="1:26" x14ac:dyDescent="0.25">
      <c r="A105" t="s">
        <v>151</v>
      </c>
      <c r="B105" t="s">
        <v>59</v>
      </c>
      <c r="C105" t="s">
        <v>85</v>
      </c>
      <c r="D105">
        <v>0</v>
      </c>
      <c r="E105">
        <v>2050</v>
      </c>
      <c r="F105" t="s">
        <v>27</v>
      </c>
      <c r="G105">
        <v>1228053.655693694</v>
      </c>
      <c r="H105">
        <v>1239900.7322830316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-11847.07658933755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</row>
    <row r="106" spans="1:26" x14ac:dyDescent="0.25">
      <c r="A106" t="s">
        <v>151</v>
      </c>
      <c r="B106" t="s">
        <v>45</v>
      </c>
      <c r="C106" t="s">
        <v>73</v>
      </c>
      <c r="D106">
        <v>1</v>
      </c>
      <c r="E106">
        <v>2050</v>
      </c>
      <c r="F106" t="s">
        <v>27</v>
      </c>
      <c r="G106">
        <v>8615.5317224824212</v>
      </c>
      <c r="H106">
        <v>0</v>
      </c>
      <c r="I106">
        <v>0</v>
      </c>
      <c r="J106">
        <v>0</v>
      </c>
      <c r="K106">
        <v>7753.9785502341792</v>
      </c>
      <c r="L106">
        <v>861.55317224824194</v>
      </c>
      <c r="M106">
        <v>0</v>
      </c>
      <c r="N106">
        <v>0</v>
      </c>
      <c r="O106">
        <v>0</v>
      </c>
      <c r="P106">
        <v>0</v>
      </c>
      <c r="Q106">
        <v>7753.9785502341792</v>
      </c>
      <c r="R106">
        <v>0</v>
      </c>
      <c r="S106">
        <v>3.6466185723896321E-3</v>
      </c>
      <c r="T106">
        <v>3.6466185723896321E-3</v>
      </c>
      <c r="U106">
        <v>0</v>
      </c>
      <c r="V106">
        <v>0</v>
      </c>
      <c r="W106">
        <v>488.50064866475327</v>
      </c>
      <c r="X106">
        <v>488.50064866475327</v>
      </c>
      <c r="Y106">
        <v>0</v>
      </c>
      <c r="Z106">
        <v>0</v>
      </c>
    </row>
    <row r="107" spans="1:26" x14ac:dyDescent="0.25">
      <c r="A107" t="s">
        <v>151</v>
      </c>
      <c r="B107" t="s">
        <v>38</v>
      </c>
      <c r="C107" t="s">
        <v>85</v>
      </c>
      <c r="D107">
        <v>0</v>
      </c>
      <c r="E107">
        <v>2050</v>
      </c>
      <c r="F107" t="s">
        <v>27</v>
      </c>
      <c r="G107">
        <v>173658.75124992887</v>
      </c>
      <c r="H107">
        <v>0</v>
      </c>
      <c r="I107">
        <v>0</v>
      </c>
      <c r="J107">
        <v>22002.479776189128</v>
      </c>
      <c r="K107">
        <v>0</v>
      </c>
      <c r="L107">
        <v>0</v>
      </c>
      <c r="M107">
        <v>0</v>
      </c>
      <c r="N107">
        <v>0</v>
      </c>
      <c r="O107">
        <v>151656.27147373973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151</v>
      </c>
      <c r="B108" t="s">
        <v>74</v>
      </c>
      <c r="C108" t="s">
        <v>85</v>
      </c>
      <c r="D108">
        <v>0</v>
      </c>
      <c r="E108">
        <v>2050</v>
      </c>
      <c r="F108" t="s">
        <v>27</v>
      </c>
      <c r="G108">
        <v>890227.36454961507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890227.36454961507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151</v>
      </c>
      <c r="B109" t="s">
        <v>40</v>
      </c>
      <c r="C109" t="s">
        <v>85</v>
      </c>
      <c r="D109">
        <v>0</v>
      </c>
      <c r="E109">
        <v>2050</v>
      </c>
      <c r="F109" t="s">
        <v>27</v>
      </c>
      <c r="G109">
        <v>26583.801661122692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-241395.11868989875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151</v>
      </c>
      <c r="B110" t="s">
        <v>56</v>
      </c>
      <c r="C110" t="s">
        <v>56</v>
      </c>
      <c r="D110">
        <v>1</v>
      </c>
      <c r="E110">
        <v>2050</v>
      </c>
      <c r="F110" t="s">
        <v>27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151</v>
      </c>
      <c r="B111" t="s">
        <v>52</v>
      </c>
      <c r="C111" t="s">
        <v>75</v>
      </c>
      <c r="D111">
        <v>1</v>
      </c>
      <c r="E111">
        <v>2050</v>
      </c>
      <c r="F111" t="s">
        <v>27</v>
      </c>
      <c r="G111">
        <v>13129194.192919735</v>
      </c>
      <c r="H111">
        <v>11930939.715450084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3568093.7851269185</v>
      </c>
      <c r="O111">
        <v>-2369839.3076572679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 x14ac:dyDescent="0.25">
      <c r="A112" t="s">
        <v>151</v>
      </c>
      <c r="B112" t="s">
        <v>60</v>
      </c>
      <c r="C112" t="s">
        <v>85</v>
      </c>
      <c r="D112">
        <v>0</v>
      </c>
      <c r="E112">
        <v>2050</v>
      </c>
      <c r="F112" t="s">
        <v>27</v>
      </c>
      <c r="G112">
        <v>596483.20419407997</v>
      </c>
      <c r="H112">
        <v>596483.20419407997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151</v>
      </c>
      <c r="B113" t="s">
        <v>29</v>
      </c>
      <c r="C113" t="s">
        <v>85</v>
      </c>
      <c r="D113">
        <v>0</v>
      </c>
      <c r="E113">
        <v>2050</v>
      </c>
      <c r="F113" t="s">
        <v>27</v>
      </c>
      <c r="G113">
        <v>537202.63583168702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256529.97714824876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151</v>
      </c>
      <c r="B114" t="s">
        <v>51</v>
      </c>
      <c r="C114" t="s">
        <v>76</v>
      </c>
      <c r="D114">
        <v>1</v>
      </c>
      <c r="E114">
        <v>2050</v>
      </c>
      <c r="F114" t="s">
        <v>27</v>
      </c>
      <c r="G114">
        <v>3350324.4564434048</v>
      </c>
      <c r="H114">
        <v>696107.27987490175</v>
      </c>
      <c r="I114">
        <v>724013.50560011622</v>
      </c>
      <c r="J114">
        <v>0</v>
      </c>
      <c r="K114">
        <v>0</v>
      </c>
      <c r="L114">
        <v>0</v>
      </c>
      <c r="M114">
        <v>84658.018505492248</v>
      </c>
      <c r="N114">
        <v>1845545.6524628943</v>
      </c>
      <c r="O114">
        <v>0</v>
      </c>
      <c r="P114">
        <v>0</v>
      </c>
      <c r="Q114">
        <v>84658.018505492248</v>
      </c>
      <c r="R114">
        <v>0</v>
      </c>
      <c r="S114">
        <v>0.87500888432762114</v>
      </c>
      <c r="T114">
        <v>0</v>
      </c>
      <c r="U114">
        <v>0.87500888432762114</v>
      </c>
      <c r="V114">
        <v>0</v>
      </c>
      <c r="W114">
        <v>71959.315729668408</v>
      </c>
      <c r="X114">
        <v>0</v>
      </c>
      <c r="Y114">
        <v>71959.315729668408</v>
      </c>
      <c r="Z114">
        <v>0</v>
      </c>
    </row>
    <row r="115" spans="1:26" x14ac:dyDescent="0.25">
      <c r="A115" t="s">
        <v>151</v>
      </c>
      <c r="B115" t="s">
        <v>55</v>
      </c>
      <c r="C115" t="s">
        <v>72</v>
      </c>
      <c r="D115">
        <v>1</v>
      </c>
      <c r="E115">
        <v>2050</v>
      </c>
      <c r="F115" t="s">
        <v>27</v>
      </c>
      <c r="G115">
        <v>524881.97503939818</v>
      </c>
      <c r="H115">
        <v>0</v>
      </c>
      <c r="I115">
        <v>0</v>
      </c>
      <c r="J115">
        <v>0</v>
      </c>
      <c r="K115">
        <v>523381.79192356829</v>
      </c>
      <c r="L115">
        <v>0</v>
      </c>
      <c r="M115">
        <v>1500.1831158298883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0.91552051921684041</v>
      </c>
      <c r="T115">
        <v>0.88873891941165373</v>
      </c>
      <c r="U115">
        <v>2.6781599805186684E-2</v>
      </c>
      <c r="V115">
        <v>0</v>
      </c>
      <c r="W115">
        <v>157464.59251181944</v>
      </c>
      <c r="X115">
        <v>157014.53757707047</v>
      </c>
      <c r="Y115">
        <v>450.0549347489723</v>
      </c>
      <c r="Z115">
        <v>0</v>
      </c>
    </row>
    <row r="116" spans="1:26" x14ac:dyDescent="0.25">
      <c r="A116" t="s">
        <v>151</v>
      </c>
      <c r="B116" t="s">
        <v>62</v>
      </c>
      <c r="C116" t="s">
        <v>85</v>
      </c>
      <c r="D116">
        <v>0</v>
      </c>
      <c r="E116">
        <v>2050</v>
      </c>
      <c r="F116" t="s">
        <v>27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5">
      <c r="A117" t="s">
        <v>151</v>
      </c>
      <c r="B117" t="s">
        <v>48</v>
      </c>
      <c r="C117" t="s">
        <v>72</v>
      </c>
      <c r="D117">
        <v>1</v>
      </c>
      <c r="E117">
        <v>2050</v>
      </c>
      <c r="F117" t="s">
        <v>27</v>
      </c>
      <c r="G117">
        <v>519697.07047323068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519697.07047323068</v>
      </c>
      <c r="P117">
        <v>519697.07047323068</v>
      </c>
      <c r="Q117">
        <v>0</v>
      </c>
      <c r="R117">
        <v>2.2519149669796703</v>
      </c>
      <c r="S117">
        <v>2.2519149669796703</v>
      </c>
      <c r="T117">
        <v>0</v>
      </c>
      <c r="U117">
        <v>2.2519149669796703</v>
      </c>
      <c r="V117">
        <v>218272.76959875689</v>
      </c>
      <c r="W117">
        <v>218272.76959875689</v>
      </c>
      <c r="X117">
        <v>0</v>
      </c>
      <c r="Y117">
        <v>218272.76959875689</v>
      </c>
      <c r="Z117">
        <v>0</v>
      </c>
    </row>
    <row r="118" spans="1:26" x14ac:dyDescent="0.25">
      <c r="A118" t="s">
        <v>151</v>
      </c>
      <c r="B118" t="s">
        <v>77</v>
      </c>
      <c r="C118" t="s">
        <v>85</v>
      </c>
      <c r="D118">
        <v>0</v>
      </c>
      <c r="E118">
        <v>2050</v>
      </c>
      <c r="F118" t="s">
        <v>27</v>
      </c>
      <c r="G118">
        <v>585071.28737725655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585071.28737725655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151</v>
      </c>
      <c r="B119" t="s">
        <v>30</v>
      </c>
      <c r="C119" t="s">
        <v>85</v>
      </c>
      <c r="D119">
        <v>0</v>
      </c>
      <c r="E119">
        <v>2050</v>
      </c>
      <c r="F119" t="s">
        <v>27</v>
      </c>
      <c r="G119">
        <v>1434346.6525245206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1305998.853830084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151</v>
      </c>
      <c r="B120" t="s">
        <v>28</v>
      </c>
      <c r="C120" t="s">
        <v>76</v>
      </c>
      <c r="D120">
        <v>1</v>
      </c>
      <c r="E120">
        <v>2050</v>
      </c>
      <c r="F120" t="s">
        <v>27</v>
      </c>
      <c r="G120">
        <v>5375910.9398724157</v>
      </c>
      <c r="H120">
        <v>5835911.4870443856</v>
      </c>
      <c r="I120">
        <v>0</v>
      </c>
      <c r="J120">
        <v>307470.55071854044</v>
      </c>
      <c r="K120">
        <v>0</v>
      </c>
      <c r="L120">
        <v>0</v>
      </c>
      <c r="M120">
        <v>0</v>
      </c>
      <c r="N120">
        <v>0</v>
      </c>
      <c r="O120">
        <v>-767471.09789051022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 x14ac:dyDescent="0.25">
      <c r="A121" t="s">
        <v>151</v>
      </c>
      <c r="B121" t="s">
        <v>68</v>
      </c>
      <c r="C121" t="s">
        <v>85</v>
      </c>
      <c r="D121">
        <v>0</v>
      </c>
      <c r="E121">
        <v>2050</v>
      </c>
      <c r="F121" t="s">
        <v>27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382144.34148139099</v>
      </c>
      <c r="M121">
        <v>0</v>
      </c>
      <c r="N121">
        <v>0</v>
      </c>
      <c r="O121">
        <v>-382144.34148139099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151</v>
      </c>
      <c r="B122" t="s">
        <v>44</v>
      </c>
      <c r="C122" t="s">
        <v>73</v>
      </c>
      <c r="D122">
        <v>1</v>
      </c>
      <c r="E122">
        <v>2050</v>
      </c>
      <c r="F122" t="s">
        <v>27</v>
      </c>
      <c r="G122">
        <v>12735406.502549823</v>
      </c>
      <c r="H122">
        <v>0</v>
      </c>
      <c r="I122">
        <v>0</v>
      </c>
      <c r="J122">
        <v>0</v>
      </c>
      <c r="K122">
        <v>11461865.852294842</v>
      </c>
      <c r="L122">
        <v>1273540.6502549821</v>
      </c>
      <c r="M122">
        <v>0</v>
      </c>
      <c r="N122">
        <v>0</v>
      </c>
      <c r="O122">
        <v>0</v>
      </c>
      <c r="P122">
        <v>0</v>
      </c>
      <c r="Q122">
        <v>11461865.852294842</v>
      </c>
      <c r="R122">
        <v>0</v>
      </c>
      <c r="S122">
        <v>5.8018818757731268</v>
      </c>
      <c r="T122">
        <v>5.8018818757731268</v>
      </c>
      <c r="U122">
        <v>0</v>
      </c>
      <c r="V122">
        <v>0</v>
      </c>
      <c r="W122">
        <v>871101.804774408</v>
      </c>
      <c r="X122">
        <v>871101.804774408</v>
      </c>
      <c r="Y122">
        <v>0</v>
      </c>
      <c r="Z122">
        <v>0</v>
      </c>
    </row>
    <row r="123" spans="1:26" x14ac:dyDescent="0.25">
      <c r="A123" t="s">
        <v>151</v>
      </c>
      <c r="B123" t="s">
        <v>58</v>
      </c>
      <c r="C123" t="s">
        <v>85</v>
      </c>
      <c r="D123">
        <v>0</v>
      </c>
      <c r="E123">
        <v>2050</v>
      </c>
      <c r="F123" t="s">
        <v>27</v>
      </c>
      <c r="G123">
        <v>1590883.4700780637</v>
      </c>
      <c r="H123">
        <v>1373162.6504626232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217720.81961544044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151</v>
      </c>
      <c r="B124" t="s">
        <v>53</v>
      </c>
      <c r="C124" t="s">
        <v>75</v>
      </c>
      <c r="D124">
        <v>1</v>
      </c>
      <c r="E124">
        <v>2050</v>
      </c>
      <c r="F124" t="s">
        <v>27</v>
      </c>
      <c r="G124">
        <v>5240560.7680441895</v>
      </c>
      <c r="H124">
        <v>6191677.4924300304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-951116.72438584082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1:26" x14ac:dyDescent="0.25">
      <c r="A125" t="s">
        <v>151</v>
      </c>
      <c r="B125" t="s">
        <v>37</v>
      </c>
      <c r="C125" t="s">
        <v>85</v>
      </c>
      <c r="D125">
        <v>0</v>
      </c>
      <c r="E125">
        <v>2050</v>
      </c>
      <c r="F125" t="s">
        <v>27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151</v>
      </c>
      <c r="B126" t="s">
        <v>34</v>
      </c>
      <c r="C126" t="s">
        <v>78</v>
      </c>
      <c r="D126">
        <v>1</v>
      </c>
      <c r="E126">
        <v>2050</v>
      </c>
      <c r="F126" t="s">
        <v>27</v>
      </c>
      <c r="G126">
        <v>209595.14629167612</v>
      </c>
      <c r="H126">
        <v>234547.13045265959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-24951.984160983469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151</v>
      </c>
      <c r="B127" t="s">
        <v>32</v>
      </c>
      <c r="C127" t="s">
        <v>85</v>
      </c>
      <c r="D127">
        <v>0</v>
      </c>
      <c r="E127">
        <v>2050</v>
      </c>
      <c r="F127" t="s">
        <v>27</v>
      </c>
      <c r="G127">
        <v>102788.11573768182</v>
      </c>
      <c r="H127">
        <v>0</v>
      </c>
      <c r="I127">
        <v>0</v>
      </c>
      <c r="J127">
        <v>37421.140603964748</v>
      </c>
      <c r="K127">
        <v>0</v>
      </c>
      <c r="L127">
        <v>0</v>
      </c>
      <c r="M127">
        <v>0</v>
      </c>
      <c r="N127">
        <v>0</v>
      </c>
      <c r="O127">
        <v>65366.975133717067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5">
      <c r="A128" t="s">
        <v>151</v>
      </c>
      <c r="B128" t="s">
        <v>79</v>
      </c>
      <c r="C128" t="s">
        <v>85</v>
      </c>
      <c r="D128">
        <v>0</v>
      </c>
      <c r="E128">
        <v>2050</v>
      </c>
      <c r="F128" t="s">
        <v>27</v>
      </c>
      <c r="G128">
        <v>1285290.7428957119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1285290.7428957119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151</v>
      </c>
      <c r="B129" t="s">
        <v>64</v>
      </c>
      <c r="C129" t="s">
        <v>80</v>
      </c>
      <c r="D129">
        <v>1</v>
      </c>
      <c r="E129">
        <v>2050</v>
      </c>
      <c r="F129" t="s">
        <v>27</v>
      </c>
      <c r="G129">
        <v>109749.06738553218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109749.06738553218</v>
      </c>
      <c r="N129">
        <v>0</v>
      </c>
      <c r="O129">
        <v>0</v>
      </c>
      <c r="P129">
        <v>0</v>
      </c>
      <c r="Q129">
        <v>109749.06738553218</v>
      </c>
      <c r="R129">
        <v>0</v>
      </c>
      <c r="S129">
        <v>2.0193828398937916</v>
      </c>
      <c r="T129">
        <v>0</v>
      </c>
      <c r="U129">
        <v>2.0193828398937916</v>
      </c>
      <c r="V129">
        <v>0</v>
      </c>
      <c r="W129">
        <v>45545.86296499586</v>
      </c>
      <c r="X129">
        <v>0</v>
      </c>
      <c r="Y129">
        <v>45545.86296499586</v>
      </c>
      <c r="Z129">
        <v>0</v>
      </c>
    </row>
    <row r="130" spans="1:26" x14ac:dyDescent="0.25">
      <c r="A130" t="s">
        <v>151</v>
      </c>
      <c r="B130" t="s">
        <v>137</v>
      </c>
      <c r="C130" t="s">
        <v>139</v>
      </c>
      <c r="D130">
        <v>1</v>
      </c>
      <c r="E130">
        <v>2050</v>
      </c>
      <c r="F130" t="s">
        <v>27</v>
      </c>
      <c r="G130">
        <v>1033505.5653792209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1033505.5653792209</v>
      </c>
      <c r="N130">
        <v>0</v>
      </c>
      <c r="O130">
        <v>0</v>
      </c>
      <c r="P130">
        <v>0</v>
      </c>
      <c r="Q130">
        <v>1033505.5653792209</v>
      </c>
      <c r="R130">
        <v>0</v>
      </c>
      <c r="S130">
        <v>9.2616863023197862</v>
      </c>
      <c r="T130">
        <v>0</v>
      </c>
      <c r="U130">
        <v>9.2616863023197862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151</v>
      </c>
      <c r="B131" t="s">
        <v>138</v>
      </c>
      <c r="C131" t="s">
        <v>139</v>
      </c>
      <c r="D131">
        <v>1</v>
      </c>
      <c r="E131">
        <v>2050</v>
      </c>
      <c r="F131" t="s">
        <v>27</v>
      </c>
      <c r="G131">
        <v>258376.39134480522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258376.39134480522</v>
      </c>
      <c r="N131">
        <v>0</v>
      </c>
      <c r="O131">
        <v>0</v>
      </c>
      <c r="P131">
        <v>0</v>
      </c>
      <c r="Q131">
        <v>258376.39134480522</v>
      </c>
      <c r="R131">
        <v>0</v>
      </c>
      <c r="S131">
        <v>8.5958134309111749</v>
      </c>
      <c r="T131">
        <v>0</v>
      </c>
      <c r="U131">
        <v>8.5958134309111749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151</v>
      </c>
      <c r="B132" t="s">
        <v>81</v>
      </c>
      <c r="C132" t="s">
        <v>85</v>
      </c>
      <c r="D132">
        <v>0</v>
      </c>
      <c r="E132">
        <v>2050</v>
      </c>
      <c r="F132" t="s">
        <v>27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151</v>
      </c>
      <c r="B133" t="s">
        <v>71</v>
      </c>
      <c r="C133" t="s">
        <v>85</v>
      </c>
      <c r="D133">
        <v>0</v>
      </c>
      <c r="E133">
        <v>2050</v>
      </c>
      <c r="F133" t="s">
        <v>27</v>
      </c>
      <c r="G133">
        <v>441660.78966818465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441660.78966818465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151</v>
      </c>
      <c r="B134" t="s">
        <v>57</v>
      </c>
      <c r="C134" t="s">
        <v>85</v>
      </c>
      <c r="D134">
        <v>0</v>
      </c>
      <c r="E134">
        <v>2050</v>
      </c>
      <c r="F134" t="s">
        <v>27</v>
      </c>
      <c r="G134">
        <v>220830.39483409232</v>
      </c>
      <c r="H134">
        <v>262373.56843565725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-41543.173601564922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151</v>
      </c>
      <c r="B135" t="s">
        <v>63</v>
      </c>
      <c r="C135" t="s">
        <v>63</v>
      </c>
      <c r="D135">
        <v>1</v>
      </c>
      <c r="E135">
        <v>2050</v>
      </c>
      <c r="F135" t="s">
        <v>27</v>
      </c>
      <c r="G135">
        <v>141331.4526938191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141331.4526938191</v>
      </c>
      <c r="N135">
        <v>0</v>
      </c>
      <c r="O135">
        <v>0</v>
      </c>
      <c r="P135">
        <v>0</v>
      </c>
      <c r="Q135">
        <v>141331.4526938191</v>
      </c>
      <c r="R135">
        <v>0</v>
      </c>
      <c r="S135">
        <v>4.946600844283668</v>
      </c>
      <c r="T135">
        <v>0</v>
      </c>
      <c r="U135">
        <v>4.946600844283668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151</v>
      </c>
      <c r="B136" t="s">
        <v>54</v>
      </c>
      <c r="C136" t="s">
        <v>75</v>
      </c>
      <c r="D136">
        <v>1</v>
      </c>
      <c r="E136">
        <v>2050</v>
      </c>
      <c r="F136" t="s">
        <v>27</v>
      </c>
      <c r="G136">
        <v>6391251.5223829793</v>
      </c>
      <c r="H136">
        <v>7470286.0842879545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-1079034.5619049752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 x14ac:dyDescent="0.25">
      <c r="A137" t="s">
        <v>151</v>
      </c>
      <c r="B137" t="s">
        <v>82</v>
      </c>
      <c r="C137" t="s">
        <v>85</v>
      </c>
      <c r="D137">
        <v>0</v>
      </c>
      <c r="E137">
        <v>2050</v>
      </c>
      <c r="F137" t="s">
        <v>27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151</v>
      </c>
      <c r="B138" t="s">
        <v>61</v>
      </c>
      <c r="C138" t="s">
        <v>85</v>
      </c>
      <c r="D138">
        <v>0</v>
      </c>
      <c r="E138">
        <v>2050</v>
      </c>
      <c r="F138" t="s">
        <v>27</v>
      </c>
      <c r="G138">
        <v>126100.24826746272</v>
      </c>
      <c r="H138">
        <v>48103.484209199996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77996.764058262721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151</v>
      </c>
      <c r="B139" t="s">
        <v>46</v>
      </c>
      <c r="C139" t="s">
        <v>72</v>
      </c>
      <c r="D139">
        <v>1</v>
      </c>
      <c r="E139">
        <v>2050</v>
      </c>
      <c r="F139" t="s">
        <v>27</v>
      </c>
      <c r="G139">
        <v>4121832.5977837904</v>
      </c>
      <c r="H139">
        <v>0</v>
      </c>
      <c r="I139">
        <v>0</v>
      </c>
      <c r="J139">
        <v>0</v>
      </c>
      <c r="K139">
        <v>3709649.3380054114</v>
      </c>
      <c r="L139">
        <v>0</v>
      </c>
      <c r="M139">
        <v>0</v>
      </c>
      <c r="N139">
        <v>0</v>
      </c>
      <c r="O139">
        <v>412183.259778379</v>
      </c>
      <c r="P139">
        <v>412183.259778379</v>
      </c>
      <c r="Q139">
        <v>3709649.3380054114</v>
      </c>
      <c r="R139">
        <v>0.20568356846200894</v>
      </c>
      <c r="S139">
        <v>2.0568356846200895</v>
      </c>
      <c r="T139">
        <v>1.8511521161580806</v>
      </c>
      <c r="U139">
        <v>0.20568356846200886</v>
      </c>
      <c r="V139">
        <v>24730.995586702738</v>
      </c>
      <c r="W139">
        <v>247309.95586702743</v>
      </c>
      <c r="X139">
        <v>222578.96028032468</v>
      </c>
      <c r="Y139">
        <v>24730.995586702746</v>
      </c>
      <c r="Z139">
        <v>0</v>
      </c>
    </row>
    <row r="140" spans="1:26" x14ac:dyDescent="0.25">
      <c r="A140" t="s">
        <v>151</v>
      </c>
      <c r="B140" t="s">
        <v>43</v>
      </c>
      <c r="C140" t="s">
        <v>73</v>
      </c>
      <c r="D140">
        <v>1</v>
      </c>
      <c r="E140">
        <v>2050</v>
      </c>
      <c r="F140" t="s">
        <v>27</v>
      </c>
      <c r="G140">
        <v>14432291.767579561</v>
      </c>
      <c r="H140">
        <v>0</v>
      </c>
      <c r="I140">
        <v>0</v>
      </c>
      <c r="J140">
        <v>0</v>
      </c>
      <c r="K140">
        <v>12989062.590821605</v>
      </c>
      <c r="L140">
        <v>1443229.1767579557</v>
      </c>
      <c r="M140">
        <v>0</v>
      </c>
      <c r="N140">
        <v>0</v>
      </c>
      <c r="O140">
        <v>0</v>
      </c>
      <c r="P140">
        <v>0</v>
      </c>
      <c r="Q140">
        <v>12989062.590821605</v>
      </c>
      <c r="R140">
        <v>0</v>
      </c>
      <c r="S140">
        <v>5.5956881641259484</v>
      </c>
      <c r="T140">
        <v>5.5956881641259484</v>
      </c>
      <c r="U140">
        <v>0</v>
      </c>
      <c r="V140">
        <v>0</v>
      </c>
      <c r="W140">
        <v>649453.12954108033</v>
      </c>
      <c r="X140">
        <v>649453.12954108033</v>
      </c>
      <c r="Y140">
        <v>0</v>
      </c>
      <c r="Z140">
        <v>0</v>
      </c>
    </row>
    <row r="141" spans="1:26" x14ac:dyDescent="0.25">
      <c r="A141" t="s">
        <v>151</v>
      </c>
      <c r="B141" t="s">
        <v>31</v>
      </c>
      <c r="C141" t="s">
        <v>85</v>
      </c>
      <c r="D141">
        <v>0</v>
      </c>
      <c r="E141">
        <v>2050</v>
      </c>
      <c r="F141" t="s">
        <v>27</v>
      </c>
      <c r="G141">
        <v>1340150.8748835563</v>
      </c>
      <c r="H141">
        <v>0</v>
      </c>
      <c r="I141">
        <v>0</v>
      </c>
      <c r="J141">
        <v>75976.255165625393</v>
      </c>
      <c r="K141">
        <v>0</v>
      </c>
      <c r="L141">
        <v>0</v>
      </c>
      <c r="M141">
        <v>0</v>
      </c>
      <c r="N141">
        <v>0</v>
      </c>
      <c r="O141">
        <v>1264174.6197179309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151</v>
      </c>
      <c r="B142" t="s">
        <v>35</v>
      </c>
      <c r="C142" t="s">
        <v>78</v>
      </c>
      <c r="D142">
        <v>1</v>
      </c>
      <c r="E142">
        <v>2050</v>
      </c>
      <c r="F142" t="s">
        <v>27</v>
      </c>
      <c r="G142">
        <v>84600</v>
      </c>
      <c r="H142">
        <v>97268.074687720582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-12668.074687720582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25">
      <c r="A143" t="s">
        <v>151</v>
      </c>
      <c r="B143" t="s">
        <v>83</v>
      </c>
      <c r="C143" t="s">
        <v>85</v>
      </c>
      <c r="D143">
        <v>1</v>
      </c>
      <c r="E143">
        <v>2050</v>
      </c>
      <c r="F143" t="s">
        <v>27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151</v>
      </c>
      <c r="B144" t="s">
        <v>65</v>
      </c>
      <c r="C144" t="s">
        <v>80</v>
      </c>
      <c r="D144">
        <v>1</v>
      </c>
      <c r="E144">
        <v>2050</v>
      </c>
      <c r="F144" t="s">
        <v>27</v>
      </c>
      <c r="G144">
        <v>2564024.4422885654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2564024.4422885654</v>
      </c>
      <c r="N144">
        <v>0</v>
      </c>
      <c r="O144">
        <v>0</v>
      </c>
      <c r="P144">
        <v>0</v>
      </c>
      <c r="Q144">
        <v>2564024.4422885654</v>
      </c>
      <c r="R144">
        <v>0</v>
      </c>
      <c r="S144">
        <v>37.161864917581333</v>
      </c>
      <c r="T144">
        <v>0</v>
      </c>
      <c r="U144">
        <v>37.161864917581333</v>
      </c>
      <c r="V144">
        <v>0</v>
      </c>
      <c r="W144">
        <v>1268123.7554152196</v>
      </c>
      <c r="X144">
        <v>0</v>
      </c>
      <c r="Y144">
        <v>1268123.7554152196</v>
      </c>
      <c r="Z144">
        <v>0</v>
      </c>
    </row>
    <row r="145" spans="1:26" x14ac:dyDescent="0.25">
      <c r="A145" t="s">
        <v>151</v>
      </c>
      <c r="B145" t="s">
        <v>84</v>
      </c>
      <c r="C145" t="s">
        <v>85</v>
      </c>
      <c r="D145">
        <v>0</v>
      </c>
      <c r="E145">
        <v>2050</v>
      </c>
      <c r="F145" t="s">
        <v>27</v>
      </c>
      <c r="G145">
        <v>772391.0266772469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772391.0266772469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151</v>
      </c>
      <c r="B146" t="s">
        <v>39</v>
      </c>
      <c r="D146">
        <v>0</v>
      </c>
      <c r="E146">
        <v>2019</v>
      </c>
      <c r="F146" t="s">
        <v>42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151</v>
      </c>
      <c r="B147" t="s">
        <v>33</v>
      </c>
      <c r="D147">
        <v>0</v>
      </c>
      <c r="E147">
        <v>2019</v>
      </c>
      <c r="F147" t="s">
        <v>42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151</v>
      </c>
      <c r="B148" t="s">
        <v>47</v>
      </c>
      <c r="C148" t="s">
        <v>72</v>
      </c>
      <c r="D148">
        <v>1</v>
      </c>
      <c r="E148">
        <v>2019</v>
      </c>
      <c r="F148" t="s">
        <v>42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151</v>
      </c>
      <c r="B149" t="s">
        <v>11</v>
      </c>
      <c r="D149">
        <v>1</v>
      </c>
      <c r="E149">
        <v>2019</v>
      </c>
      <c r="F149" t="s">
        <v>42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151</v>
      </c>
      <c r="B150" t="s">
        <v>67</v>
      </c>
      <c r="D150">
        <v>0</v>
      </c>
      <c r="E150">
        <v>2019</v>
      </c>
      <c r="F150" t="s">
        <v>42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151</v>
      </c>
      <c r="B151" t="s">
        <v>50</v>
      </c>
      <c r="C151" t="s">
        <v>72</v>
      </c>
      <c r="D151">
        <v>1</v>
      </c>
      <c r="E151">
        <v>2019</v>
      </c>
      <c r="F151" t="s">
        <v>42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151</v>
      </c>
      <c r="B152" t="s">
        <v>49</v>
      </c>
      <c r="C152" t="s">
        <v>73</v>
      </c>
      <c r="D152">
        <v>1</v>
      </c>
      <c r="E152">
        <v>2019</v>
      </c>
      <c r="F152" t="s">
        <v>42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151</v>
      </c>
      <c r="B153" t="s">
        <v>59</v>
      </c>
      <c r="D153">
        <v>0</v>
      </c>
      <c r="E153">
        <v>2019</v>
      </c>
      <c r="F153" t="s">
        <v>42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151</v>
      </c>
      <c r="B154" t="s">
        <v>45</v>
      </c>
      <c r="C154" t="s">
        <v>73</v>
      </c>
      <c r="D154">
        <v>1</v>
      </c>
      <c r="E154">
        <v>2019</v>
      </c>
      <c r="F154" t="s">
        <v>42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151</v>
      </c>
      <c r="B155" t="s">
        <v>38</v>
      </c>
      <c r="D155">
        <v>0</v>
      </c>
      <c r="E155">
        <v>2019</v>
      </c>
      <c r="F155" t="s">
        <v>42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151</v>
      </c>
      <c r="B156" t="s">
        <v>74</v>
      </c>
      <c r="D156">
        <v>0</v>
      </c>
      <c r="E156">
        <v>2019</v>
      </c>
      <c r="F156" t="s">
        <v>42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151</v>
      </c>
      <c r="B157" t="s">
        <v>40</v>
      </c>
      <c r="D157">
        <v>0</v>
      </c>
      <c r="E157">
        <v>2019</v>
      </c>
      <c r="F157" t="s">
        <v>42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151</v>
      </c>
      <c r="B158" t="s">
        <v>56</v>
      </c>
      <c r="C158" t="s">
        <v>56</v>
      </c>
      <c r="D158">
        <v>1</v>
      </c>
      <c r="E158">
        <v>2019</v>
      </c>
      <c r="F158" t="s">
        <v>42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151</v>
      </c>
      <c r="B159" t="s">
        <v>52</v>
      </c>
      <c r="C159" t="s">
        <v>75</v>
      </c>
      <c r="D159">
        <v>1</v>
      </c>
      <c r="E159">
        <v>2019</v>
      </c>
      <c r="F159" t="s">
        <v>42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151</v>
      </c>
      <c r="B160" t="s">
        <v>60</v>
      </c>
      <c r="D160">
        <v>0</v>
      </c>
      <c r="E160">
        <v>2019</v>
      </c>
      <c r="F160" t="s">
        <v>42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151</v>
      </c>
      <c r="B161" t="s">
        <v>29</v>
      </c>
      <c r="D161">
        <v>0</v>
      </c>
      <c r="E161">
        <v>2019</v>
      </c>
      <c r="F161" t="s">
        <v>42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151</v>
      </c>
      <c r="B162" t="s">
        <v>51</v>
      </c>
      <c r="C162" t="s">
        <v>76</v>
      </c>
      <c r="D162">
        <v>1</v>
      </c>
      <c r="E162">
        <v>2019</v>
      </c>
      <c r="F162" t="s">
        <v>42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151</v>
      </c>
      <c r="B163" t="s">
        <v>55</v>
      </c>
      <c r="C163" t="s">
        <v>72</v>
      </c>
      <c r="D163">
        <v>1</v>
      </c>
      <c r="E163">
        <v>2019</v>
      </c>
      <c r="F163" t="s">
        <v>42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151</v>
      </c>
      <c r="B164" t="s">
        <v>62</v>
      </c>
      <c r="D164">
        <v>0</v>
      </c>
      <c r="E164">
        <v>2019</v>
      </c>
      <c r="F164" t="s">
        <v>42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151</v>
      </c>
      <c r="B165" t="s">
        <v>48</v>
      </c>
      <c r="C165" t="s">
        <v>72</v>
      </c>
      <c r="D165">
        <v>1</v>
      </c>
      <c r="E165">
        <v>2019</v>
      </c>
      <c r="F165" t="s">
        <v>42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151</v>
      </c>
      <c r="B166" t="s">
        <v>77</v>
      </c>
      <c r="D166">
        <v>0</v>
      </c>
      <c r="E166">
        <v>2019</v>
      </c>
      <c r="F166" t="s">
        <v>42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151</v>
      </c>
      <c r="B167" t="s">
        <v>30</v>
      </c>
      <c r="D167">
        <v>0</v>
      </c>
      <c r="E167">
        <v>2019</v>
      </c>
      <c r="F167" t="s">
        <v>42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151</v>
      </c>
      <c r="B168" t="s">
        <v>28</v>
      </c>
      <c r="C168" t="s">
        <v>76</v>
      </c>
      <c r="D168">
        <v>1</v>
      </c>
      <c r="E168">
        <v>2019</v>
      </c>
      <c r="F168" t="s">
        <v>42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151</v>
      </c>
      <c r="B169" t="s">
        <v>68</v>
      </c>
      <c r="D169">
        <v>0</v>
      </c>
      <c r="E169">
        <v>2019</v>
      </c>
      <c r="F169" t="s">
        <v>42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377069.89971696056</v>
      </c>
      <c r="M169">
        <v>0</v>
      </c>
      <c r="N169">
        <v>0</v>
      </c>
      <c r="O169">
        <v>-377069.89971696056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151</v>
      </c>
      <c r="B170" t="s">
        <v>44</v>
      </c>
      <c r="C170" t="s">
        <v>73</v>
      </c>
      <c r="D170">
        <v>1</v>
      </c>
      <c r="E170">
        <v>2019</v>
      </c>
      <c r="F170" t="s">
        <v>42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151</v>
      </c>
      <c r="B171" t="s">
        <v>58</v>
      </c>
      <c r="D171">
        <v>0</v>
      </c>
      <c r="E171">
        <v>2019</v>
      </c>
      <c r="F171" t="s">
        <v>42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151</v>
      </c>
      <c r="B172" t="s">
        <v>53</v>
      </c>
      <c r="C172" t="s">
        <v>75</v>
      </c>
      <c r="D172">
        <v>1</v>
      </c>
      <c r="E172">
        <v>2019</v>
      </c>
      <c r="F172" t="s">
        <v>42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151</v>
      </c>
      <c r="B173" t="s">
        <v>37</v>
      </c>
      <c r="D173">
        <v>0</v>
      </c>
      <c r="E173">
        <v>2019</v>
      </c>
      <c r="F173" t="s">
        <v>42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151</v>
      </c>
      <c r="B174" t="s">
        <v>34</v>
      </c>
      <c r="C174" t="s">
        <v>78</v>
      </c>
      <c r="D174">
        <v>1</v>
      </c>
      <c r="E174">
        <v>2019</v>
      </c>
      <c r="F174" t="s">
        <v>42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151</v>
      </c>
      <c r="B175" t="s">
        <v>32</v>
      </c>
      <c r="D175">
        <v>0</v>
      </c>
      <c r="E175">
        <v>2019</v>
      </c>
      <c r="F175" t="s">
        <v>42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151</v>
      </c>
      <c r="B176" t="s">
        <v>79</v>
      </c>
      <c r="D176">
        <v>0</v>
      </c>
      <c r="E176">
        <v>2019</v>
      </c>
      <c r="F176" t="s">
        <v>42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151</v>
      </c>
      <c r="B177" t="s">
        <v>64</v>
      </c>
      <c r="C177" t="s">
        <v>80</v>
      </c>
      <c r="D177">
        <v>1</v>
      </c>
      <c r="E177">
        <v>2019</v>
      </c>
      <c r="F177" t="s">
        <v>42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151</v>
      </c>
      <c r="B178" t="s">
        <v>137</v>
      </c>
      <c r="C178" t="s">
        <v>139</v>
      </c>
      <c r="D178">
        <v>1</v>
      </c>
      <c r="E178">
        <v>2019</v>
      </c>
      <c r="F178" t="s">
        <v>42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151</v>
      </c>
      <c r="B179" t="s">
        <v>138</v>
      </c>
      <c r="C179" t="s">
        <v>139</v>
      </c>
      <c r="D179">
        <v>1</v>
      </c>
      <c r="E179">
        <v>2019</v>
      </c>
      <c r="F179" t="s">
        <v>42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151</v>
      </c>
      <c r="B180" t="s">
        <v>81</v>
      </c>
      <c r="D180">
        <v>0</v>
      </c>
      <c r="E180">
        <v>2019</v>
      </c>
      <c r="F180" t="s">
        <v>42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151</v>
      </c>
      <c r="B181" t="s">
        <v>71</v>
      </c>
      <c r="D181">
        <v>0</v>
      </c>
      <c r="E181">
        <v>2019</v>
      </c>
      <c r="F181" t="s">
        <v>42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151</v>
      </c>
      <c r="B182" t="s">
        <v>57</v>
      </c>
      <c r="D182">
        <v>0</v>
      </c>
      <c r="E182">
        <v>2019</v>
      </c>
      <c r="F182" t="s">
        <v>42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151</v>
      </c>
      <c r="B183" t="s">
        <v>63</v>
      </c>
      <c r="C183" t="s">
        <v>63</v>
      </c>
      <c r="D183">
        <v>1</v>
      </c>
      <c r="E183">
        <v>2019</v>
      </c>
      <c r="F183" t="s">
        <v>42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32210.735628649098</v>
      </c>
      <c r="N183">
        <v>29732.986734137623</v>
      </c>
      <c r="O183">
        <v>0</v>
      </c>
      <c r="P183">
        <v>0</v>
      </c>
      <c r="Q183">
        <v>32210.735628649098</v>
      </c>
      <c r="R183">
        <v>0</v>
      </c>
      <c r="S183">
        <v>1.1273757470027184</v>
      </c>
      <c r="T183">
        <v>0</v>
      </c>
      <c r="U183">
        <v>1.1273757470027184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151</v>
      </c>
      <c r="B184" t="s">
        <v>54</v>
      </c>
      <c r="C184" t="s">
        <v>75</v>
      </c>
      <c r="D184">
        <v>1</v>
      </c>
      <c r="E184">
        <v>2019</v>
      </c>
      <c r="F184" t="s">
        <v>42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151</v>
      </c>
      <c r="B185" t="s">
        <v>82</v>
      </c>
      <c r="D185">
        <v>0</v>
      </c>
      <c r="E185">
        <v>2019</v>
      </c>
      <c r="F185" t="s">
        <v>42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151</v>
      </c>
      <c r="B186" t="s">
        <v>61</v>
      </c>
      <c r="D186">
        <v>0</v>
      </c>
      <c r="E186">
        <v>2019</v>
      </c>
      <c r="F186" t="s">
        <v>42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151</v>
      </c>
      <c r="B187" t="s">
        <v>46</v>
      </c>
      <c r="C187" t="s">
        <v>72</v>
      </c>
      <c r="D187">
        <v>1</v>
      </c>
      <c r="E187">
        <v>2019</v>
      </c>
      <c r="F187" t="s">
        <v>42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151</v>
      </c>
      <c r="B188" t="s">
        <v>43</v>
      </c>
      <c r="C188" t="s">
        <v>73</v>
      </c>
      <c r="D188">
        <v>1</v>
      </c>
      <c r="E188">
        <v>2019</v>
      </c>
      <c r="F188" t="s">
        <v>42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151</v>
      </c>
      <c r="B189" t="s">
        <v>31</v>
      </c>
      <c r="D189">
        <v>0</v>
      </c>
      <c r="E189">
        <v>2019</v>
      </c>
      <c r="F189" t="s">
        <v>42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151</v>
      </c>
      <c r="B190" t="s">
        <v>35</v>
      </c>
      <c r="C190" t="s">
        <v>78</v>
      </c>
      <c r="D190">
        <v>1</v>
      </c>
      <c r="E190">
        <v>2019</v>
      </c>
      <c r="F190" t="s">
        <v>42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151</v>
      </c>
      <c r="B191" t="s">
        <v>83</v>
      </c>
      <c r="D191">
        <v>1</v>
      </c>
      <c r="E191">
        <v>2019</v>
      </c>
      <c r="F191" t="s">
        <v>42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151</v>
      </c>
      <c r="B192" t="s">
        <v>65</v>
      </c>
      <c r="C192" t="s">
        <v>80</v>
      </c>
      <c r="D192">
        <v>1</v>
      </c>
      <c r="E192">
        <v>2019</v>
      </c>
      <c r="F192" t="s">
        <v>42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151</v>
      </c>
      <c r="B193" t="s">
        <v>84</v>
      </c>
      <c r="D193">
        <v>0</v>
      </c>
      <c r="E193">
        <v>2019</v>
      </c>
      <c r="F193" t="s">
        <v>42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187413.07432328182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151</v>
      </c>
      <c r="B194" t="s">
        <v>39</v>
      </c>
      <c r="C194" t="s">
        <v>85</v>
      </c>
      <c r="D194">
        <v>0</v>
      </c>
      <c r="E194">
        <v>2030</v>
      </c>
      <c r="F194" t="s">
        <v>42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151</v>
      </c>
      <c r="B195" t="s">
        <v>33</v>
      </c>
      <c r="C195" t="s">
        <v>85</v>
      </c>
      <c r="D195">
        <v>0</v>
      </c>
      <c r="E195">
        <v>2030</v>
      </c>
      <c r="F195" t="s">
        <v>42</v>
      </c>
      <c r="G195">
        <v>188257.45482871469</v>
      </c>
      <c r="H195">
        <v>7916.616753740097</v>
      </c>
      <c r="I195">
        <v>0</v>
      </c>
      <c r="J195">
        <v>37612.453499504722</v>
      </c>
      <c r="K195">
        <v>0</v>
      </c>
      <c r="L195">
        <v>0</v>
      </c>
      <c r="M195">
        <v>0</v>
      </c>
      <c r="N195">
        <v>0</v>
      </c>
      <c r="O195">
        <v>142728.38457546989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151</v>
      </c>
      <c r="B196" t="s">
        <v>47</v>
      </c>
      <c r="C196" t="s">
        <v>72</v>
      </c>
      <c r="D196">
        <v>1</v>
      </c>
      <c r="E196">
        <v>2030</v>
      </c>
      <c r="F196" t="s">
        <v>42</v>
      </c>
      <c r="G196">
        <v>168912.745758362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168912.745758362</v>
      </c>
      <c r="N196">
        <v>0</v>
      </c>
      <c r="O196">
        <v>0</v>
      </c>
      <c r="P196">
        <v>0</v>
      </c>
      <c r="Q196">
        <v>168912.745758362</v>
      </c>
      <c r="R196">
        <v>0</v>
      </c>
      <c r="S196">
        <v>3.0154675860307889</v>
      </c>
      <c r="T196">
        <v>0</v>
      </c>
      <c r="U196">
        <v>3.0154675860307889</v>
      </c>
      <c r="V196">
        <v>0</v>
      </c>
      <c r="W196">
        <v>47295.568812341364</v>
      </c>
      <c r="X196">
        <v>0</v>
      </c>
      <c r="Y196">
        <v>47295.568812341364</v>
      </c>
      <c r="Z196">
        <v>0</v>
      </c>
    </row>
    <row r="197" spans="1:26" x14ac:dyDescent="0.25">
      <c r="A197" t="s">
        <v>151</v>
      </c>
      <c r="B197" t="s">
        <v>11</v>
      </c>
      <c r="C197" t="s">
        <v>85</v>
      </c>
      <c r="D197">
        <v>1</v>
      </c>
      <c r="E197">
        <v>2030</v>
      </c>
      <c r="F197" t="s">
        <v>42</v>
      </c>
      <c r="G197">
        <v>110585264.20583707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110585264.20583707</v>
      </c>
      <c r="N197">
        <v>0</v>
      </c>
      <c r="O197">
        <v>0</v>
      </c>
      <c r="P197">
        <v>0</v>
      </c>
      <c r="Q197">
        <v>110585264.20583707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151</v>
      </c>
      <c r="B198" t="s">
        <v>67</v>
      </c>
      <c r="C198" t="s">
        <v>85</v>
      </c>
      <c r="D198">
        <v>0</v>
      </c>
      <c r="E198">
        <v>2030</v>
      </c>
      <c r="F198" t="s">
        <v>42</v>
      </c>
      <c r="G198">
        <v>5136646.569981494</v>
      </c>
      <c r="H198">
        <v>0</v>
      </c>
      <c r="I198">
        <v>0</v>
      </c>
      <c r="J198">
        <v>0</v>
      </c>
      <c r="K198">
        <v>0</v>
      </c>
      <c r="L198">
        <v>4160096.0304783662</v>
      </c>
      <c r="M198">
        <v>0</v>
      </c>
      <c r="N198">
        <v>0</v>
      </c>
      <c r="O198">
        <v>976550.5395031278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151</v>
      </c>
      <c r="B199" t="s">
        <v>50</v>
      </c>
      <c r="C199" t="s">
        <v>72</v>
      </c>
      <c r="D199">
        <v>1</v>
      </c>
      <c r="E199">
        <v>2030</v>
      </c>
      <c r="F199" t="s">
        <v>42</v>
      </c>
      <c r="G199">
        <v>138068.49935653029</v>
      </c>
      <c r="H199">
        <v>0</v>
      </c>
      <c r="I199">
        <v>0</v>
      </c>
      <c r="J199">
        <v>0</v>
      </c>
      <c r="K199">
        <v>103551.37451739772</v>
      </c>
      <c r="L199">
        <v>0</v>
      </c>
      <c r="M199">
        <v>0</v>
      </c>
      <c r="N199">
        <v>0</v>
      </c>
      <c r="O199">
        <v>34517.124839132564</v>
      </c>
      <c r="P199">
        <v>34517.124839132564</v>
      </c>
      <c r="Q199">
        <v>103551.37451739772</v>
      </c>
      <c r="R199">
        <v>1.96066270095927E-2</v>
      </c>
      <c r="S199">
        <v>7.8426508038370812E-2</v>
      </c>
      <c r="T199">
        <v>5.8819881028778116E-2</v>
      </c>
      <c r="U199">
        <v>1.9606627009592696E-2</v>
      </c>
      <c r="V199">
        <v>1476.0691868999997</v>
      </c>
      <c r="W199">
        <v>5904.2767475999999</v>
      </c>
      <c r="X199">
        <v>4428.2075607000006</v>
      </c>
      <c r="Y199">
        <v>1476.0691868999993</v>
      </c>
      <c r="Z199">
        <v>0</v>
      </c>
    </row>
    <row r="200" spans="1:26" x14ac:dyDescent="0.25">
      <c r="A200" t="s">
        <v>151</v>
      </c>
      <c r="B200" t="s">
        <v>49</v>
      </c>
      <c r="C200" t="s">
        <v>73</v>
      </c>
      <c r="D200">
        <v>1</v>
      </c>
      <c r="E200">
        <v>2030</v>
      </c>
      <c r="F200" t="s">
        <v>42</v>
      </c>
      <c r="G200">
        <v>358055.10959218151</v>
      </c>
      <c r="H200">
        <v>0</v>
      </c>
      <c r="I200">
        <v>0</v>
      </c>
      <c r="J200">
        <v>0</v>
      </c>
      <c r="K200">
        <v>268541.33219413611</v>
      </c>
      <c r="L200">
        <v>33887.358586402894</v>
      </c>
      <c r="M200">
        <v>0</v>
      </c>
      <c r="N200">
        <v>0</v>
      </c>
      <c r="O200">
        <v>55626.418811642507</v>
      </c>
      <c r="P200">
        <v>55626.418811642507</v>
      </c>
      <c r="Q200">
        <v>268541.33219413611</v>
      </c>
      <c r="R200">
        <v>0.11981930612027797</v>
      </c>
      <c r="S200">
        <v>0.69825733566644721</v>
      </c>
      <c r="T200">
        <v>0.57843802954616919</v>
      </c>
      <c r="U200">
        <v>0.11981930612027802</v>
      </c>
      <c r="V200">
        <v>16687.925643492752</v>
      </c>
      <c r="W200">
        <v>97250.325301733581</v>
      </c>
      <c r="X200">
        <v>80562.399658240829</v>
      </c>
      <c r="Y200">
        <v>16687.925643492752</v>
      </c>
      <c r="Z200">
        <v>0</v>
      </c>
    </row>
    <row r="201" spans="1:26" x14ac:dyDescent="0.25">
      <c r="A201" t="s">
        <v>151</v>
      </c>
      <c r="B201" t="s">
        <v>59</v>
      </c>
      <c r="C201" t="s">
        <v>85</v>
      </c>
      <c r="D201">
        <v>0</v>
      </c>
      <c r="E201">
        <v>2030</v>
      </c>
      <c r="F201" t="s">
        <v>42</v>
      </c>
      <c r="G201">
        <v>97246.911136941184</v>
      </c>
      <c r="H201">
        <v>99708.616697511316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-2461.7055605701316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</row>
    <row r="202" spans="1:26" x14ac:dyDescent="0.25">
      <c r="A202" t="s">
        <v>151</v>
      </c>
      <c r="B202" t="s">
        <v>45</v>
      </c>
      <c r="C202" t="s">
        <v>73</v>
      </c>
      <c r="D202">
        <v>1</v>
      </c>
      <c r="E202">
        <v>2030</v>
      </c>
      <c r="F202" t="s">
        <v>42</v>
      </c>
      <c r="G202">
        <v>700.20192515285464</v>
      </c>
      <c r="H202">
        <v>0</v>
      </c>
      <c r="I202">
        <v>0</v>
      </c>
      <c r="J202">
        <v>0</v>
      </c>
      <c r="K202">
        <v>525.15144386464101</v>
      </c>
      <c r="L202">
        <v>175.05048128821366</v>
      </c>
      <c r="M202">
        <v>0</v>
      </c>
      <c r="N202">
        <v>0</v>
      </c>
      <c r="O202">
        <v>0</v>
      </c>
      <c r="P202">
        <v>0</v>
      </c>
      <c r="Q202">
        <v>525.15144386464101</v>
      </c>
      <c r="R202">
        <v>0</v>
      </c>
      <c r="S202">
        <v>2.4697347253510203E-4</v>
      </c>
      <c r="T202">
        <v>2.4697347253510203E-4</v>
      </c>
      <c r="U202">
        <v>0</v>
      </c>
      <c r="V202">
        <v>0</v>
      </c>
      <c r="W202">
        <v>33.084540963472385</v>
      </c>
      <c r="X202">
        <v>33.084540963472385</v>
      </c>
      <c r="Y202">
        <v>0</v>
      </c>
      <c r="Z202">
        <v>0</v>
      </c>
    </row>
    <row r="203" spans="1:26" x14ac:dyDescent="0.25">
      <c r="A203" t="s">
        <v>151</v>
      </c>
      <c r="B203" t="s">
        <v>38</v>
      </c>
      <c r="C203" t="s">
        <v>85</v>
      </c>
      <c r="D203">
        <v>0</v>
      </c>
      <c r="E203">
        <v>2030</v>
      </c>
      <c r="F203" t="s">
        <v>42</v>
      </c>
      <c r="G203">
        <v>15244.045659594452</v>
      </c>
      <c r="H203">
        <v>0</v>
      </c>
      <c r="I203">
        <v>0</v>
      </c>
      <c r="J203">
        <v>24448.094774678073</v>
      </c>
      <c r="K203">
        <v>0</v>
      </c>
      <c r="L203">
        <v>0</v>
      </c>
      <c r="M203">
        <v>0</v>
      </c>
      <c r="N203">
        <v>0</v>
      </c>
      <c r="O203">
        <v>-9204.0491150836206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151</v>
      </c>
      <c r="B204" t="s">
        <v>74</v>
      </c>
      <c r="C204" t="s">
        <v>85</v>
      </c>
      <c r="D204">
        <v>0</v>
      </c>
      <c r="E204">
        <v>2030</v>
      </c>
      <c r="F204" t="s">
        <v>42</v>
      </c>
      <c r="G204">
        <v>329676.22085490648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329676.22085490648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151</v>
      </c>
      <c r="B205" t="s">
        <v>40</v>
      </c>
      <c r="C205" t="s">
        <v>85</v>
      </c>
      <c r="D205">
        <v>0</v>
      </c>
      <c r="E205">
        <v>2030</v>
      </c>
      <c r="F205" t="s">
        <v>42</v>
      </c>
      <c r="G205">
        <v>9522.6453234358887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-213801.2973298734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151</v>
      </c>
      <c r="B206" t="s">
        <v>56</v>
      </c>
      <c r="C206" t="s">
        <v>56</v>
      </c>
      <c r="D206">
        <v>1</v>
      </c>
      <c r="E206">
        <v>2030</v>
      </c>
      <c r="F206" t="s">
        <v>42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151</v>
      </c>
      <c r="B207" t="s">
        <v>52</v>
      </c>
      <c r="C207" t="s">
        <v>75</v>
      </c>
      <c r="D207">
        <v>1</v>
      </c>
      <c r="E207">
        <v>2030</v>
      </c>
      <c r="F207" t="s">
        <v>42</v>
      </c>
      <c r="G207">
        <v>3971162.6567211794</v>
      </c>
      <c r="H207">
        <v>1464417.2058845724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282549.62447427149</v>
      </c>
      <c r="O207">
        <v>2224195.8263623356</v>
      </c>
      <c r="P207">
        <v>1701963.8027284606</v>
      </c>
      <c r="Q207">
        <v>0</v>
      </c>
      <c r="R207">
        <v>3.1314006515450266</v>
      </c>
      <c r="S207">
        <v>3.1314006515450266</v>
      </c>
      <c r="T207">
        <v>0</v>
      </c>
      <c r="U207">
        <v>3.1314006515450266</v>
      </c>
      <c r="V207">
        <v>476549.86476396903</v>
      </c>
      <c r="W207">
        <v>476549.86476396903</v>
      </c>
      <c r="X207">
        <v>0</v>
      </c>
      <c r="Y207">
        <v>476549.86476396903</v>
      </c>
      <c r="Z207">
        <v>0</v>
      </c>
    </row>
    <row r="208" spans="1:26" x14ac:dyDescent="0.25">
      <c r="A208" t="s">
        <v>151</v>
      </c>
      <c r="B208" t="s">
        <v>60</v>
      </c>
      <c r="C208" t="s">
        <v>85</v>
      </c>
      <c r="D208">
        <v>0</v>
      </c>
      <c r="E208">
        <v>2030</v>
      </c>
      <c r="F208" t="s">
        <v>42</v>
      </c>
      <c r="G208">
        <v>47234.213980799999</v>
      </c>
      <c r="H208">
        <v>47234.213980800007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151</v>
      </c>
      <c r="B209" t="s">
        <v>29</v>
      </c>
      <c r="C209" t="s">
        <v>85</v>
      </c>
      <c r="D209">
        <v>0</v>
      </c>
      <c r="E209">
        <v>2030</v>
      </c>
      <c r="F209" t="s">
        <v>42</v>
      </c>
      <c r="G209">
        <v>187762.65694031972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-46139.788259725261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5">
      <c r="A210" t="s">
        <v>151</v>
      </c>
      <c r="B210" t="s">
        <v>51</v>
      </c>
      <c r="C210" t="s">
        <v>76</v>
      </c>
      <c r="D210">
        <v>1</v>
      </c>
      <c r="E210">
        <v>2030</v>
      </c>
      <c r="F210" t="s">
        <v>42</v>
      </c>
      <c r="G210">
        <v>1034567.4118832117</v>
      </c>
      <c r="H210">
        <v>85441.004824644522</v>
      </c>
      <c r="I210">
        <v>103520.85960187271</v>
      </c>
      <c r="J210">
        <v>0</v>
      </c>
      <c r="K210">
        <v>0</v>
      </c>
      <c r="L210">
        <v>0</v>
      </c>
      <c r="M210">
        <v>213920.20342180214</v>
      </c>
      <c r="N210">
        <v>631685.34403489227</v>
      </c>
      <c r="O210">
        <v>0</v>
      </c>
      <c r="P210">
        <v>0</v>
      </c>
      <c r="Q210">
        <v>213920.20342180214</v>
      </c>
      <c r="R210">
        <v>0</v>
      </c>
      <c r="S210">
        <v>2.2110377945959754</v>
      </c>
      <c r="T210">
        <v>0</v>
      </c>
      <c r="U210">
        <v>2.2110377945959754</v>
      </c>
      <c r="V210">
        <v>0</v>
      </c>
      <c r="W210">
        <v>181832.17290853182</v>
      </c>
      <c r="X210">
        <v>0</v>
      </c>
      <c r="Y210">
        <v>181832.17290853182</v>
      </c>
      <c r="Z210">
        <v>0</v>
      </c>
    </row>
    <row r="211" spans="1:26" x14ac:dyDescent="0.25">
      <c r="A211" t="s">
        <v>151</v>
      </c>
      <c r="B211" t="s">
        <v>55</v>
      </c>
      <c r="C211" t="s">
        <v>72</v>
      </c>
      <c r="D211">
        <v>1</v>
      </c>
      <c r="E211">
        <v>2030</v>
      </c>
      <c r="F211" t="s">
        <v>42</v>
      </c>
      <c r="G211">
        <v>456074.89013160887</v>
      </c>
      <c r="H211">
        <v>0</v>
      </c>
      <c r="I211">
        <v>0</v>
      </c>
      <c r="J211">
        <v>0</v>
      </c>
      <c r="K211">
        <v>348039.31140100124</v>
      </c>
      <c r="L211">
        <v>0</v>
      </c>
      <c r="M211">
        <v>108035.57873060764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2.5196700890881236</v>
      </c>
      <c r="T211">
        <v>0.59099511351069822</v>
      </c>
      <c r="U211">
        <v>1.9286749755774255</v>
      </c>
      <c r="V211">
        <v>0</v>
      </c>
      <c r="W211">
        <v>136822.46703948267</v>
      </c>
      <c r="X211">
        <v>104411.79342030037</v>
      </c>
      <c r="Y211">
        <v>32410.6736191823</v>
      </c>
      <c r="Z211">
        <v>0</v>
      </c>
    </row>
    <row r="212" spans="1:26" x14ac:dyDescent="0.25">
      <c r="A212" t="s">
        <v>151</v>
      </c>
      <c r="B212" t="s">
        <v>62</v>
      </c>
      <c r="C212" t="s">
        <v>85</v>
      </c>
      <c r="D212">
        <v>0</v>
      </c>
      <c r="E212">
        <v>2030</v>
      </c>
      <c r="F212" t="s">
        <v>42</v>
      </c>
      <c r="G212">
        <v>0</v>
      </c>
      <c r="H212">
        <v>296323.3632129106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-296323.3632129106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151</v>
      </c>
      <c r="B213" t="s">
        <v>48</v>
      </c>
      <c r="C213" t="s">
        <v>72</v>
      </c>
      <c r="D213">
        <v>1</v>
      </c>
      <c r="E213">
        <v>2030</v>
      </c>
      <c r="F213" t="s">
        <v>42</v>
      </c>
      <c r="G213">
        <v>202910.9816220197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202910.9816220197</v>
      </c>
      <c r="P213">
        <v>202910.9816220197</v>
      </c>
      <c r="Q213">
        <v>0</v>
      </c>
      <c r="R213">
        <v>0.87923966179582225</v>
      </c>
      <c r="S213">
        <v>0.87923966179582225</v>
      </c>
      <c r="T213">
        <v>0</v>
      </c>
      <c r="U213">
        <v>0.87923966179582225</v>
      </c>
      <c r="V213">
        <v>85222.612281248264</v>
      </c>
      <c r="W213">
        <v>85222.612281248264</v>
      </c>
      <c r="X213">
        <v>0</v>
      </c>
      <c r="Y213">
        <v>85222.612281248264</v>
      </c>
      <c r="Z213">
        <v>0</v>
      </c>
    </row>
    <row r="214" spans="1:26" x14ac:dyDescent="0.25">
      <c r="A214" t="s">
        <v>151</v>
      </c>
      <c r="B214" t="s">
        <v>77</v>
      </c>
      <c r="C214" t="s">
        <v>85</v>
      </c>
      <c r="D214">
        <v>0</v>
      </c>
      <c r="E214">
        <v>2030</v>
      </c>
      <c r="F214" t="s">
        <v>42</v>
      </c>
      <c r="G214">
        <v>207015.6692365655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207015.6692365655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151</v>
      </c>
      <c r="B215" t="s">
        <v>30</v>
      </c>
      <c r="C215" t="s">
        <v>85</v>
      </c>
      <c r="D215">
        <v>0</v>
      </c>
      <c r="E215">
        <v>2030</v>
      </c>
      <c r="F215" t="s">
        <v>42</v>
      </c>
      <c r="G215">
        <v>504537.47763297328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397577.06299375673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151</v>
      </c>
      <c r="B216" t="s">
        <v>28</v>
      </c>
      <c r="C216" t="s">
        <v>76</v>
      </c>
      <c r="D216">
        <v>1</v>
      </c>
      <c r="E216">
        <v>2030</v>
      </c>
      <c r="F216" t="s">
        <v>42</v>
      </c>
      <c r="G216">
        <v>1755805.0553705248</v>
      </c>
      <c r="H216">
        <v>721719.35529882624</v>
      </c>
      <c r="I216">
        <v>0</v>
      </c>
      <c r="J216">
        <v>256234.83946537593</v>
      </c>
      <c r="K216">
        <v>0</v>
      </c>
      <c r="L216">
        <v>0</v>
      </c>
      <c r="M216">
        <v>0</v>
      </c>
      <c r="N216">
        <v>0</v>
      </c>
      <c r="O216">
        <v>777850.86060632253</v>
      </c>
      <c r="P216">
        <v>272940.46416478558</v>
      </c>
      <c r="Q216">
        <v>0</v>
      </c>
      <c r="R216">
        <v>0.93478287809940774</v>
      </c>
      <c r="S216">
        <v>0.93478287809940774</v>
      </c>
      <c r="T216">
        <v>0</v>
      </c>
      <c r="U216">
        <v>0.93478287809940774</v>
      </c>
      <c r="V216">
        <v>84611.543891083522</v>
      </c>
      <c r="W216">
        <v>84611.543891083522</v>
      </c>
      <c r="X216">
        <v>0</v>
      </c>
      <c r="Y216">
        <v>84611.543891083522</v>
      </c>
      <c r="Z216">
        <v>0</v>
      </c>
    </row>
    <row r="217" spans="1:26" x14ac:dyDescent="0.25">
      <c r="A217" t="s">
        <v>151</v>
      </c>
      <c r="B217" t="s">
        <v>68</v>
      </c>
      <c r="C217" t="s">
        <v>85</v>
      </c>
      <c r="D217">
        <v>0</v>
      </c>
      <c r="E217">
        <v>2030</v>
      </c>
      <c r="F217" t="s">
        <v>42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329415.54823135486</v>
      </c>
      <c r="M217">
        <v>0</v>
      </c>
      <c r="N217">
        <v>0</v>
      </c>
      <c r="O217">
        <v>-329415.54823135486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151</v>
      </c>
      <c r="B218" t="s">
        <v>44</v>
      </c>
      <c r="C218" t="s">
        <v>73</v>
      </c>
      <c r="D218">
        <v>1</v>
      </c>
      <c r="E218">
        <v>2030</v>
      </c>
      <c r="F218" t="s">
        <v>42</v>
      </c>
      <c r="G218">
        <v>922789.17266620893</v>
      </c>
      <c r="H218">
        <v>0</v>
      </c>
      <c r="I218">
        <v>0</v>
      </c>
      <c r="J218">
        <v>0</v>
      </c>
      <c r="K218">
        <v>692091.87949965673</v>
      </c>
      <c r="L218">
        <v>230697.29316655223</v>
      </c>
      <c r="M218">
        <v>0</v>
      </c>
      <c r="N218">
        <v>0</v>
      </c>
      <c r="O218">
        <v>0</v>
      </c>
      <c r="P218">
        <v>0</v>
      </c>
      <c r="Q218">
        <v>692091.87949965673</v>
      </c>
      <c r="R218">
        <v>0</v>
      </c>
      <c r="S218">
        <v>0.35032998848393127</v>
      </c>
      <c r="T218">
        <v>0.35032998848393127</v>
      </c>
      <c r="U218">
        <v>0</v>
      </c>
      <c r="V218">
        <v>0</v>
      </c>
      <c r="W218">
        <v>52598.982841973913</v>
      </c>
      <c r="X218">
        <v>52598.982841973913</v>
      </c>
      <c r="Y218">
        <v>0</v>
      </c>
      <c r="Z218">
        <v>0</v>
      </c>
    </row>
    <row r="219" spans="1:26" x14ac:dyDescent="0.25">
      <c r="A219" t="s">
        <v>151</v>
      </c>
      <c r="B219" t="s">
        <v>58</v>
      </c>
      <c r="C219" t="s">
        <v>85</v>
      </c>
      <c r="D219">
        <v>0</v>
      </c>
      <c r="E219">
        <v>2030</v>
      </c>
      <c r="F219" t="s">
        <v>42</v>
      </c>
      <c r="G219">
        <v>115210.53389359287</v>
      </c>
      <c r="H219">
        <v>168543.55648210307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-53333.022588510197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151</v>
      </c>
      <c r="B220" t="s">
        <v>53</v>
      </c>
      <c r="C220" t="s">
        <v>75</v>
      </c>
      <c r="D220">
        <v>1</v>
      </c>
      <c r="E220">
        <v>2030</v>
      </c>
      <c r="F220" t="s">
        <v>42</v>
      </c>
      <c r="G220">
        <v>1821828.198443895</v>
      </c>
      <c r="H220">
        <v>704814.2138566036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1117013.9845872913</v>
      </c>
      <c r="P220">
        <v>1117013.9845872913</v>
      </c>
      <c r="Q220">
        <v>0</v>
      </c>
      <c r="R220">
        <v>4.0100802046683759</v>
      </c>
      <c r="S220">
        <v>4.0100802046683759</v>
      </c>
      <c r="T220">
        <v>0</v>
      </c>
      <c r="U220">
        <v>4.0100802046683759</v>
      </c>
      <c r="V220">
        <v>335104.19537618739</v>
      </c>
      <c r="W220">
        <v>335104.19537618739</v>
      </c>
      <c r="X220">
        <v>0</v>
      </c>
      <c r="Y220">
        <v>335104.19537618739</v>
      </c>
      <c r="Z220">
        <v>0</v>
      </c>
    </row>
    <row r="221" spans="1:26" x14ac:dyDescent="0.25">
      <c r="A221" t="s">
        <v>151</v>
      </c>
      <c r="B221" t="s">
        <v>37</v>
      </c>
      <c r="C221" t="s">
        <v>85</v>
      </c>
      <c r="D221">
        <v>0</v>
      </c>
      <c r="E221">
        <v>2030</v>
      </c>
      <c r="F221" t="s">
        <v>42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151</v>
      </c>
      <c r="B222" t="s">
        <v>34</v>
      </c>
      <c r="C222" t="s">
        <v>78</v>
      </c>
      <c r="D222">
        <v>1</v>
      </c>
      <c r="E222">
        <v>2030</v>
      </c>
      <c r="F222" t="s">
        <v>42</v>
      </c>
      <c r="G222">
        <v>69865.048763892031</v>
      </c>
      <c r="H222">
        <v>17273.150059468084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52591.898704423947</v>
      </c>
      <c r="P222">
        <v>52591.898704423947</v>
      </c>
      <c r="Q222">
        <v>0</v>
      </c>
      <c r="R222">
        <v>4.7201229087220499E-2</v>
      </c>
      <c r="S222">
        <v>4.7201229087220499E-2</v>
      </c>
      <c r="T222">
        <v>0</v>
      </c>
      <c r="U222">
        <v>4.7201229087220499E-2</v>
      </c>
      <c r="V222">
        <v>7888.7848056635921</v>
      </c>
      <c r="W222">
        <v>7888.7848056635921</v>
      </c>
      <c r="X222">
        <v>0</v>
      </c>
      <c r="Y222">
        <v>7888.7848056635921</v>
      </c>
      <c r="Z222">
        <v>0</v>
      </c>
    </row>
    <row r="223" spans="1:26" x14ac:dyDescent="0.25">
      <c r="A223" t="s">
        <v>151</v>
      </c>
      <c r="B223" t="s">
        <v>32</v>
      </c>
      <c r="C223" t="s">
        <v>85</v>
      </c>
      <c r="D223">
        <v>0</v>
      </c>
      <c r="E223">
        <v>2030</v>
      </c>
      <c r="F223" t="s">
        <v>42</v>
      </c>
      <c r="G223">
        <v>7545.7953205064359</v>
      </c>
      <c r="H223">
        <v>0</v>
      </c>
      <c r="I223">
        <v>0</v>
      </c>
      <c r="J223">
        <v>41580.567343702467</v>
      </c>
      <c r="K223">
        <v>0</v>
      </c>
      <c r="L223">
        <v>0</v>
      </c>
      <c r="M223">
        <v>0</v>
      </c>
      <c r="N223">
        <v>0</v>
      </c>
      <c r="O223">
        <v>-34034.772023196034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151</v>
      </c>
      <c r="B224" t="s">
        <v>79</v>
      </c>
      <c r="C224" t="s">
        <v>85</v>
      </c>
      <c r="D224">
        <v>0</v>
      </c>
      <c r="E224">
        <v>2030</v>
      </c>
      <c r="F224" t="s">
        <v>42</v>
      </c>
      <c r="G224">
        <v>455734.52648995339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455734.52648995339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151</v>
      </c>
      <c r="B225" t="s">
        <v>64</v>
      </c>
      <c r="C225" t="s">
        <v>80</v>
      </c>
      <c r="D225">
        <v>1</v>
      </c>
      <c r="E225">
        <v>2030</v>
      </c>
      <c r="F225" t="s">
        <v>42</v>
      </c>
      <c r="G225">
        <v>40402.059763463323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40402.059763463323</v>
      </c>
      <c r="N225">
        <v>0</v>
      </c>
      <c r="O225">
        <v>0</v>
      </c>
      <c r="P225">
        <v>0</v>
      </c>
      <c r="Q225">
        <v>40402.059763463323</v>
      </c>
      <c r="R225">
        <v>0</v>
      </c>
      <c r="S225">
        <v>0.74339789964772496</v>
      </c>
      <c r="T225">
        <v>0</v>
      </c>
      <c r="U225">
        <v>0.74339789964772496</v>
      </c>
      <c r="V225">
        <v>0</v>
      </c>
      <c r="W225">
        <v>16766.854801837282</v>
      </c>
      <c r="X225">
        <v>0</v>
      </c>
      <c r="Y225">
        <v>16766.854801837282</v>
      </c>
      <c r="Z225">
        <v>0</v>
      </c>
    </row>
    <row r="226" spans="1:26" x14ac:dyDescent="0.25">
      <c r="A226" t="s">
        <v>151</v>
      </c>
      <c r="B226" t="s">
        <v>137</v>
      </c>
      <c r="C226" t="s">
        <v>139</v>
      </c>
      <c r="D226">
        <v>1</v>
      </c>
      <c r="E226">
        <v>2030</v>
      </c>
      <c r="F226" t="s">
        <v>42</v>
      </c>
      <c r="G226">
        <v>353743.79265953973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353743.79265953973</v>
      </c>
      <c r="N226">
        <v>0</v>
      </c>
      <c r="O226">
        <v>0</v>
      </c>
      <c r="P226">
        <v>0</v>
      </c>
      <c r="Q226">
        <v>353743.79265953973</v>
      </c>
      <c r="R226">
        <v>0</v>
      </c>
      <c r="S226">
        <v>3.1700497305047031</v>
      </c>
      <c r="T226">
        <v>0</v>
      </c>
      <c r="U226">
        <v>3.1700497305047031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151</v>
      </c>
      <c r="B227" t="s">
        <v>138</v>
      </c>
      <c r="C227" t="s">
        <v>139</v>
      </c>
      <c r="D227">
        <v>1</v>
      </c>
      <c r="E227">
        <v>2030</v>
      </c>
      <c r="F227" t="s">
        <v>42</v>
      </c>
      <c r="G227">
        <v>88435.948164884932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88435.948164884932</v>
      </c>
      <c r="N227">
        <v>0</v>
      </c>
      <c r="O227">
        <v>0</v>
      </c>
      <c r="P227">
        <v>0</v>
      </c>
      <c r="Q227">
        <v>88435.948164884932</v>
      </c>
      <c r="R227">
        <v>0</v>
      </c>
      <c r="S227">
        <v>2.9421376583769141</v>
      </c>
      <c r="T227">
        <v>0</v>
      </c>
      <c r="U227">
        <v>2.9421376583769141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151</v>
      </c>
      <c r="B228" t="s">
        <v>81</v>
      </c>
      <c r="C228" t="s">
        <v>85</v>
      </c>
      <c r="D228">
        <v>0</v>
      </c>
      <c r="E228">
        <v>2030</v>
      </c>
      <c r="F228" t="s">
        <v>42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151</v>
      </c>
      <c r="B229" t="s">
        <v>71</v>
      </c>
      <c r="C229" t="s">
        <v>85</v>
      </c>
      <c r="D229">
        <v>0</v>
      </c>
      <c r="E229">
        <v>2030</v>
      </c>
      <c r="F229" t="s">
        <v>42</v>
      </c>
      <c r="G229">
        <v>156722.18970302682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156722.18970302682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151</v>
      </c>
      <c r="B230" t="s">
        <v>57</v>
      </c>
      <c r="C230" t="s">
        <v>85</v>
      </c>
      <c r="D230">
        <v>0</v>
      </c>
      <c r="E230">
        <v>2030</v>
      </c>
      <c r="F230" t="s">
        <v>42</v>
      </c>
      <c r="G230">
        <v>78361.094851513408</v>
      </c>
      <c r="H230">
        <v>32204.032301743573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46157.062549769835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151</v>
      </c>
      <c r="B231" t="s">
        <v>63</v>
      </c>
      <c r="C231" t="s">
        <v>63</v>
      </c>
      <c r="D231">
        <v>1</v>
      </c>
      <c r="E231">
        <v>2030</v>
      </c>
      <c r="F231" t="s">
        <v>42</v>
      </c>
      <c r="G231">
        <v>50151.10070496858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50151.10070496858</v>
      </c>
      <c r="N231">
        <v>0</v>
      </c>
      <c r="O231">
        <v>0</v>
      </c>
      <c r="P231">
        <v>0</v>
      </c>
      <c r="Q231">
        <v>50151.10070496858</v>
      </c>
      <c r="R231">
        <v>0</v>
      </c>
      <c r="S231">
        <v>1.7552885246739001</v>
      </c>
      <c r="T231">
        <v>0</v>
      </c>
      <c r="U231">
        <v>1.7552885246739001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151</v>
      </c>
      <c r="B232" t="s">
        <v>54</v>
      </c>
      <c r="C232" t="s">
        <v>75</v>
      </c>
      <c r="D232">
        <v>1</v>
      </c>
      <c r="E232">
        <v>2030</v>
      </c>
      <c r="F232" t="s">
        <v>42</v>
      </c>
      <c r="G232">
        <v>600150.79865828564</v>
      </c>
      <c r="H232">
        <v>223896.98689600852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376253.81176227715</v>
      </c>
      <c r="P232">
        <v>376253.81176227715</v>
      </c>
      <c r="Q232">
        <v>0</v>
      </c>
      <c r="R232">
        <v>1.0211678952752907</v>
      </c>
      <c r="S232">
        <v>1.0211678952752907</v>
      </c>
      <c r="T232">
        <v>0</v>
      </c>
      <c r="U232">
        <v>1.0211678952752907</v>
      </c>
      <c r="V232">
        <v>75250.762352455436</v>
      </c>
      <c r="W232">
        <v>75250.762352455436</v>
      </c>
      <c r="X232">
        <v>0</v>
      </c>
      <c r="Y232">
        <v>75250.762352455436</v>
      </c>
      <c r="Z232">
        <v>0</v>
      </c>
    </row>
    <row r="233" spans="1:26" x14ac:dyDescent="0.25">
      <c r="A233" t="s">
        <v>151</v>
      </c>
      <c r="B233" t="s">
        <v>82</v>
      </c>
      <c r="C233" t="s">
        <v>85</v>
      </c>
      <c r="D233">
        <v>0</v>
      </c>
      <c r="E233">
        <v>2030</v>
      </c>
      <c r="F233" t="s">
        <v>42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151</v>
      </c>
      <c r="B234" t="s">
        <v>61</v>
      </c>
      <c r="C234" t="s">
        <v>85</v>
      </c>
      <c r="D234">
        <v>0</v>
      </c>
      <c r="E234">
        <v>2030</v>
      </c>
      <c r="F234" t="s">
        <v>42</v>
      </c>
      <c r="G234">
        <v>18290.426254310609</v>
      </c>
      <c r="H234">
        <v>5313.8490728400002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12976.57718147061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151</v>
      </c>
      <c r="B235" t="s">
        <v>46</v>
      </c>
      <c r="C235" t="s">
        <v>72</v>
      </c>
      <c r="D235">
        <v>1</v>
      </c>
      <c r="E235">
        <v>2030</v>
      </c>
      <c r="F235" t="s">
        <v>42</v>
      </c>
      <c r="G235">
        <v>3344054.0907642334</v>
      </c>
      <c r="H235">
        <v>0</v>
      </c>
      <c r="I235">
        <v>0</v>
      </c>
      <c r="J235">
        <v>0</v>
      </c>
      <c r="K235">
        <v>2508040.5680731749</v>
      </c>
      <c r="L235">
        <v>0</v>
      </c>
      <c r="M235">
        <v>0</v>
      </c>
      <c r="N235">
        <v>0</v>
      </c>
      <c r="O235">
        <v>836013.52269105846</v>
      </c>
      <c r="P235">
        <v>836013.52269105846</v>
      </c>
      <c r="Q235">
        <v>2508040.5680731749</v>
      </c>
      <c r="R235">
        <v>0.41717910795806512</v>
      </c>
      <c r="S235">
        <v>1.6687164318322603</v>
      </c>
      <c r="T235">
        <v>1.2515373238741951</v>
      </c>
      <c r="U235">
        <v>0.41717910795806512</v>
      </c>
      <c r="V235">
        <v>50160.811361463508</v>
      </c>
      <c r="W235">
        <v>200643.245445854</v>
      </c>
      <c r="X235">
        <v>150482.43408439049</v>
      </c>
      <c r="Y235">
        <v>50160.811361463508</v>
      </c>
      <c r="Z235">
        <v>0</v>
      </c>
    </row>
    <row r="236" spans="1:26" x14ac:dyDescent="0.25">
      <c r="A236" t="s">
        <v>151</v>
      </c>
      <c r="B236" t="s">
        <v>43</v>
      </c>
      <c r="C236" t="s">
        <v>73</v>
      </c>
      <c r="D236">
        <v>1</v>
      </c>
      <c r="E236">
        <v>2030</v>
      </c>
      <c r="F236" t="s">
        <v>42</v>
      </c>
      <c r="G236">
        <v>2184299.8380428459</v>
      </c>
      <c r="H236">
        <v>0</v>
      </c>
      <c r="I236">
        <v>0</v>
      </c>
      <c r="J236">
        <v>0</v>
      </c>
      <c r="K236">
        <v>1638224.8785321345</v>
      </c>
      <c r="L236">
        <v>546074.95951071149</v>
      </c>
      <c r="M236">
        <v>0</v>
      </c>
      <c r="N236">
        <v>0</v>
      </c>
      <c r="O236">
        <v>0</v>
      </c>
      <c r="P236">
        <v>0</v>
      </c>
      <c r="Q236">
        <v>1638224.8785321345</v>
      </c>
      <c r="R236">
        <v>0</v>
      </c>
      <c r="S236">
        <v>0.70574727767164369</v>
      </c>
      <c r="T236">
        <v>0.70574727767164369</v>
      </c>
      <c r="U236">
        <v>0</v>
      </c>
      <c r="V236">
        <v>0</v>
      </c>
      <c r="W236">
        <v>81911.243926606723</v>
      </c>
      <c r="X236">
        <v>81911.243926606723</v>
      </c>
      <c r="Y236">
        <v>0</v>
      </c>
      <c r="Z236">
        <v>0</v>
      </c>
    </row>
    <row r="237" spans="1:26" x14ac:dyDescent="0.25">
      <c r="A237" t="s">
        <v>151</v>
      </c>
      <c r="B237" t="s">
        <v>31</v>
      </c>
      <c r="C237" t="s">
        <v>85</v>
      </c>
      <c r="D237">
        <v>0</v>
      </c>
      <c r="E237">
        <v>2030</v>
      </c>
      <c r="F237" t="s">
        <v>42</v>
      </c>
      <c r="G237">
        <v>199670.11202830033</v>
      </c>
      <c r="H237">
        <v>0</v>
      </c>
      <c r="I237">
        <v>0</v>
      </c>
      <c r="J237">
        <v>84421.151879638346</v>
      </c>
      <c r="K237">
        <v>0</v>
      </c>
      <c r="L237">
        <v>0</v>
      </c>
      <c r="M237">
        <v>0</v>
      </c>
      <c r="N237">
        <v>0</v>
      </c>
      <c r="O237">
        <v>115248.96014866198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151</v>
      </c>
      <c r="B238" t="s">
        <v>35</v>
      </c>
      <c r="C238" t="s">
        <v>78</v>
      </c>
      <c r="D238">
        <v>1</v>
      </c>
      <c r="E238">
        <v>2030</v>
      </c>
      <c r="F238" t="s">
        <v>42</v>
      </c>
      <c r="G238">
        <v>36000</v>
      </c>
      <c r="H238">
        <v>11938.794894044118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24061.20510595588</v>
      </c>
      <c r="P238">
        <v>11393.130418235298</v>
      </c>
      <c r="Q238">
        <v>0</v>
      </c>
      <c r="R238">
        <v>1.0225334550366181E-2</v>
      </c>
      <c r="S238">
        <v>1.0225334550366181E-2</v>
      </c>
      <c r="T238">
        <v>0</v>
      </c>
      <c r="U238">
        <v>1.0225334550366181E-2</v>
      </c>
      <c r="V238">
        <v>1708.9695627352946</v>
      </c>
      <c r="W238">
        <v>1708.9695627352946</v>
      </c>
      <c r="X238">
        <v>0</v>
      </c>
      <c r="Y238">
        <v>1708.9695627352946</v>
      </c>
      <c r="Z238">
        <v>0</v>
      </c>
    </row>
    <row r="239" spans="1:26" x14ac:dyDescent="0.25">
      <c r="A239" t="s">
        <v>151</v>
      </c>
      <c r="B239" t="s">
        <v>83</v>
      </c>
      <c r="C239" t="s">
        <v>85</v>
      </c>
      <c r="D239">
        <v>1</v>
      </c>
      <c r="E239">
        <v>2030</v>
      </c>
      <c r="F239" t="s">
        <v>42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151</v>
      </c>
      <c r="B240" t="s">
        <v>65</v>
      </c>
      <c r="C240" t="s">
        <v>80</v>
      </c>
      <c r="D240">
        <v>1</v>
      </c>
      <c r="E240">
        <v>2030</v>
      </c>
      <c r="F240" t="s">
        <v>42</v>
      </c>
      <c r="G240">
        <v>649227.97058290825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649227.97058290825</v>
      </c>
      <c r="N240">
        <v>0</v>
      </c>
      <c r="O240">
        <v>0</v>
      </c>
      <c r="P240">
        <v>0</v>
      </c>
      <c r="Q240">
        <v>649227.97058290825</v>
      </c>
      <c r="R240">
        <v>0</v>
      </c>
      <c r="S240">
        <v>9.4096303239539125</v>
      </c>
      <c r="T240">
        <v>0</v>
      </c>
      <c r="U240">
        <v>9.4096303239539125</v>
      </c>
      <c r="V240">
        <v>0</v>
      </c>
      <c r="W240">
        <v>321097.33378413005</v>
      </c>
      <c r="X240">
        <v>0</v>
      </c>
      <c r="Y240">
        <v>321097.33378413005</v>
      </c>
      <c r="Z240">
        <v>0</v>
      </c>
    </row>
    <row r="241" spans="1:26" x14ac:dyDescent="0.25">
      <c r="A241" t="s">
        <v>151</v>
      </c>
      <c r="B241" t="s">
        <v>84</v>
      </c>
      <c r="C241" t="s">
        <v>85</v>
      </c>
      <c r="D241">
        <v>0</v>
      </c>
      <c r="E241">
        <v>2030</v>
      </c>
      <c r="F241" t="s">
        <v>42</v>
      </c>
      <c r="G241">
        <v>178767.78971229953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178767.78971229953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151</v>
      </c>
      <c r="B242" t="s">
        <v>39</v>
      </c>
      <c r="C242" t="s">
        <v>85</v>
      </c>
      <c r="D242">
        <v>0</v>
      </c>
      <c r="E242">
        <v>2050</v>
      </c>
      <c r="F242" t="s">
        <v>42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151</v>
      </c>
      <c r="B243" t="s">
        <v>33</v>
      </c>
      <c r="C243" t="s">
        <v>85</v>
      </c>
      <c r="D243">
        <v>0</v>
      </c>
      <c r="E243">
        <v>2050</v>
      </c>
      <c r="F243" t="s">
        <v>42</v>
      </c>
      <c r="G243">
        <v>83636.434922809407</v>
      </c>
      <c r="H243">
        <v>7916.616753740097</v>
      </c>
      <c r="I243">
        <v>0</v>
      </c>
      <c r="J243">
        <v>78752.00538693853</v>
      </c>
      <c r="K243">
        <v>0</v>
      </c>
      <c r="L243">
        <v>0</v>
      </c>
      <c r="M243">
        <v>0</v>
      </c>
      <c r="N243">
        <v>0</v>
      </c>
      <c r="O243">
        <v>-3032.1872178692138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151</v>
      </c>
      <c r="B244" t="s">
        <v>47</v>
      </c>
      <c r="C244" t="s">
        <v>72</v>
      </c>
      <c r="D244">
        <v>1</v>
      </c>
      <c r="E244">
        <v>2050</v>
      </c>
      <c r="F244" t="s">
        <v>42</v>
      </c>
      <c r="G244">
        <v>172292.68030975034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172292.68030975034</v>
      </c>
      <c r="N244">
        <v>0</v>
      </c>
      <c r="O244">
        <v>0</v>
      </c>
      <c r="P244">
        <v>0</v>
      </c>
      <c r="Q244">
        <v>172292.68030975034</v>
      </c>
      <c r="R244">
        <v>0</v>
      </c>
      <c r="S244">
        <v>3.0758069229876184</v>
      </c>
      <c r="T244">
        <v>0</v>
      </c>
      <c r="U244">
        <v>3.0758069229876184</v>
      </c>
      <c r="V244">
        <v>0</v>
      </c>
      <c r="W244">
        <v>48241.9504867301</v>
      </c>
      <c r="X244">
        <v>0</v>
      </c>
      <c r="Y244">
        <v>48241.9504867301</v>
      </c>
      <c r="Z244">
        <v>0</v>
      </c>
    </row>
    <row r="245" spans="1:26" x14ac:dyDescent="0.25">
      <c r="A245" t="s">
        <v>151</v>
      </c>
      <c r="B245" t="s">
        <v>11</v>
      </c>
      <c r="C245" t="s">
        <v>85</v>
      </c>
      <c r="D245">
        <v>1</v>
      </c>
      <c r="E245">
        <v>2050</v>
      </c>
      <c r="F245" t="s">
        <v>42</v>
      </c>
      <c r="G245">
        <v>134961336.05226791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134961336.05226791</v>
      </c>
      <c r="N245">
        <v>0</v>
      </c>
      <c r="O245">
        <v>0</v>
      </c>
      <c r="P245">
        <v>0</v>
      </c>
      <c r="Q245">
        <v>134961336.05226791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151</v>
      </c>
      <c r="B246" t="s">
        <v>67</v>
      </c>
      <c r="C246" t="s">
        <v>85</v>
      </c>
      <c r="D246">
        <v>0</v>
      </c>
      <c r="E246">
        <v>2050</v>
      </c>
      <c r="F246" t="s">
        <v>42</v>
      </c>
      <c r="G246">
        <v>6310761.9683396835</v>
      </c>
      <c r="H246">
        <v>0</v>
      </c>
      <c r="I246">
        <v>0</v>
      </c>
      <c r="J246">
        <v>0</v>
      </c>
      <c r="K246">
        <v>0</v>
      </c>
      <c r="L246">
        <v>5038088.1961279493</v>
      </c>
      <c r="M246">
        <v>0</v>
      </c>
      <c r="N246">
        <v>0</v>
      </c>
      <c r="O246">
        <v>1272673.7722117342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151</v>
      </c>
      <c r="B247" t="s">
        <v>50</v>
      </c>
      <c r="C247" t="s">
        <v>72</v>
      </c>
      <c r="D247">
        <v>1</v>
      </c>
      <c r="E247">
        <v>2050</v>
      </c>
      <c r="F247" t="s">
        <v>42</v>
      </c>
      <c r="G247">
        <v>214006.17400262188</v>
      </c>
      <c r="H247">
        <v>0</v>
      </c>
      <c r="I247">
        <v>0</v>
      </c>
      <c r="J247">
        <v>0</v>
      </c>
      <c r="K247">
        <v>192605.55660235969</v>
      </c>
      <c r="L247">
        <v>0</v>
      </c>
      <c r="M247">
        <v>0</v>
      </c>
      <c r="N247">
        <v>0</v>
      </c>
      <c r="O247">
        <v>21400.617400262185</v>
      </c>
      <c r="P247">
        <v>21400.617400262185</v>
      </c>
      <c r="Q247">
        <v>192605.55660235969</v>
      </c>
      <c r="R247">
        <v>1.2156108745947471E-2</v>
      </c>
      <c r="S247">
        <v>0.12156108745947472</v>
      </c>
      <c r="T247">
        <v>0.10940497871352725</v>
      </c>
      <c r="U247">
        <v>1.2156108745947469E-2</v>
      </c>
      <c r="V247">
        <v>915.16289587799952</v>
      </c>
      <c r="W247">
        <v>9151.6289587799965</v>
      </c>
      <c r="X247">
        <v>8236.4660629019982</v>
      </c>
      <c r="Y247">
        <v>915.16289587799838</v>
      </c>
      <c r="Z247">
        <v>0</v>
      </c>
    </row>
    <row r="248" spans="1:26" x14ac:dyDescent="0.25">
      <c r="A248" t="s">
        <v>151</v>
      </c>
      <c r="B248" t="s">
        <v>49</v>
      </c>
      <c r="C248" t="s">
        <v>73</v>
      </c>
      <c r="D248">
        <v>1</v>
      </c>
      <c r="E248">
        <v>2050</v>
      </c>
      <c r="F248" t="s">
        <v>42</v>
      </c>
      <c r="G248">
        <v>377058.10701599991</v>
      </c>
      <c r="H248">
        <v>0</v>
      </c>
      <c r="I248">
        <v>0</v>
      </c>
      <c r="J248">
        <v>0</v>
      </c>
      <c r="K248">
        <v>339352.29631439992</v>
      </c>
      <c r="L248">
        <v>14274.342622748565</v>
      </c>
      <c r="M248">
        <v>0</v>
      </c>
      <c r="N248">
        <v>0</v>
      </c>
      <c r="O248">
        <v>23431.468078851409</v>
      </c>
      <c r="P248">
        <v>23431.468078851409</v>
      </c>
      <c r="Q248">
        <v>339352.29631439992</v>
      </c>
      <c r="R248">
        <v>5.0471382241845934E-2</v>
      </c>
      <c r="S248">
        <v>0.78143622850306338</v>
      </c>
      <c r="T248">
        <v>0.73096484626121749</v>
      </c>
      <c r="U248">
        <v>5.0471382241845886E-2</v>
      </c>
      <c r="V248">
        <v>7029.4404236554228</v>
      </c>
      <c r="W248">
        <v>108835.1293179754</v>
      </c>
      <c r="X248">
        <v>101805.68889431997</v>
      </c>
      <c r="Y248">
        <v>7029.4404236554255</v>
      </c>
      <c r="Z248">
        <v>0</v>
      </c>
    </row>
    <row r="249" spans="1:26" x14ac:dyDescent="0.25">
      <c r="A249" t="s">
        <v>151</v>
      </c>
      <c r="B249" t="s">
        <v>59</v>
      </c>
      <c r="C249" t="s">
        <v>85</v>
      </c>
      <c r="D249">
        <v>0</v>
      </c>
      <c r="E249">
        <v>2050</v>
      </c>
      <c r="F249" t="s">
        <v>42</v>
      </c>
      <c r="G249">
        <v>150732.71226225881</v>
      </c>
      <c r="H249">
        <v>152186.83601199093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-1454.1237497321272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1</v>
      </c>
    </row>
    <row r="250" spans="1:26" x14ac:dyDescent="0.25">
      <c r="A250" t="s">
        <v>151</v>
      </c>
      <c r="B250" t="s">
        <v>45</v>
      </c>
      <c r="C250" t="s">
        <v>73</v>
      </c>
      <c r="D250">
        <v>1</v>
      </c>
      <c r="E250">
        <v>2050</v>
      </c>
      <c r="F250" t="s">
        <v>42</v>
      </c>
      <c r="G250">
        <v>723.09839736855315</v>
      </c>
      <c r="H250">
        <v>0</v>
      </c>
      <c r="I250">
        <v>0</v>
      </c>
      <c r="J250">
        <v>0</v>
      </c>
      <c r="K250">
        <v>650.78855763169781</v>
      </c>
      <c r="L250">
        <v>72.309839736855295</v>
      </c>
      <c r="M250">
        <v>0</v>
      </c>
      <c r="N250">
        <v>0</v>
      </c>
      <c r="O250">
        <v>0</v>
      </c>
      <c r="P250">
        <v>0</v>
      </c>
      <c r="Q250">
        <v>650.78855763169781</v>
      </c>
      <c r="R250">
        <v>0</v>
      </c>
      <c r="S250">
        <v>3.0605935076861117E-4</v>
      </c>
      <c r="T250">
        <v>3.0605935076861117E-4</v>
      </c>
      <c r="U250">
        <v>0</v>
      </c>
      <c r="V250">
        <v>0</v>
      </c>
      <c r="W250">
        <v>40.999679130796963</v>
      </c>
      <c r="X250">
        <v>40.999679130796963</v>
      </c>
      <c r="Y250">
        <v>0</v>
      </c>
      <c r="Z250">
        <v>0</v>
      </c>
    </row>
    <row r="251" spans="1:26" x14ac:dyDescent="0.25">
      <c r="A251" t="s">
        <v>151</v>
      </c>
      <c r="B251" t="s">
        <v>38</v>
      </c>
      <c r="C251" t="s">
        <v>85</v>
      </c>
      <c r="D251">
        <v>0</v>
      </c>
      <c r="E251">
        <v>2050</v>
      </c>
      <c r="F251" t="s">
        <v>42</v>
      </c>
      <c r="G251">
        <v>14575.114892812006</v>
      </c>
      <c r="H251">
        <v>0</v>
      </c>
      <c r="I251">
        <v>0</v>
      </c>
      <c r="J251">
        <v>19195.801313066269</v>
      </c>
      <c r="K251">
        <v>0</v>
      </c>
      <c r="L251">
        <v>0</v>
      </c>
      <c r="M251">
        <v>0</v>
      </c>
      <c r="N251">
        <v>0</v>
      </c>
      <c r="O251">
        <v>-4620.6864202542638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151</v>
      </c>
      <c r="B252" t="s">
        <v>74</v>
      </c>
      <c r="C252" t="s">
        <v>85</v>
      </c>
      <c r="D252">
        <v>0</v>
      </c>
      <c r="E252">
        <v>2050</v>
      </c>
      <c r="F252" t="s">
        <v>42</v>
      </c>
      <c r="G252">
        <v>312663.17734254454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312663.17734254454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151</v>
      </c>
      <c r="B253" t="s">
        <v>40</v>
      </c>
      <c r="C253" t="s">
        <v>85</v>
      </c>
      <c r="D253">
        <v>0</v>
      </c>
      <c r="E253">
        <v>2050</v>
      </c>
      <c r="F253" t="s">
        <v>42</v>
      </c>
      <c r="G253">
        <v>9336.6888327632332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-224458.32715971058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151</v>
      </c>
      <c r="B254" t="s">
        <v>56</v>
      </c>
      <c r="C254" t="s">
        <v>56</v>
      </c>
      <c r="D254">
        <v>1</v>
      </c>
      <c r="E254">
        <v>2050</v>
      </c>
      <c r="F254" t="s">
        <v>42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151</v>
      </c>
      <c r="B255" t="s">
        <v>52</v>
      </c>
      <c r="C255" t="s">
        <v>75</v>
      </c>
      <c r="D255">
        <v>1</v>
      </c>
      <c r="E255">
        <v>2050</v>
      </c>
      <c r="F255" t="s">
        <v>42</v>
      </c>
      <c r="G255">
        <v>4611199.043945794</v>
      </c>
      <c r="H255">
        <v>1464417.2058845721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437951.9179351207</v>
      </c>
      <c r="O255">
        <v>2708829.920126101</v>
      </c>
      <c r="P255">
        <v>338990.6124688331</v>
      </c>
      <c r="Q255">
        <v>0</v>
      </c>
      <c r="R255">
        <v>0.6237003531160944</v>
      </c>
      <c r="S255">
        <v>0.6237003531160944</v>
      </c>
      <c r="T255">
        <v>0</v>
      </c>
      <c r="U255">
        <v>0.6237003531160944</v>
      </c>
      <c r="V255">
        <v>94917.371491273283</v>
      </c>
      <c r="W255">
        <v>94917.371491273283</v>
      </c>
      <c r="X255">
        <v>0</v>
      </c>
      <c r="Y255">
        <v>94917.371491273283</v>
      </c>
      <c r="Z255">
        <v>0</v>
      </c>
    </row>
    <row r="256" spans="1:26" x14ac:dyDescent="0.25">
      <c r="A256" t="s">
        <v>151</v>
      </c>
      <c r="B256" t="s">
        <v>60</v>
      </c>
      <c r="C256" t="s">
        <v>85</v>
      </c>
      <c r="D256">
        <v>0</v>
      </c>
      <c r="E256">
        <v>2050</v>
      </c>
      <c r="F256" t="s">
        <v>42</v>
      </c>
      <c r="G256">
        <v>73213.031670239987</v>
      </c>
      <c r="H256">
        <v>73213.031670239987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151</v>
      </c>
      <c r="B257" t="s">
        <v>29</v>
      </c>
      <c r="C257" t="s">
        <v>85</v>
      </c>
      <c r="D257">
        <v>0</v>
      </c>
      <c r="E257">
        <v>2050</v>
      </c>
      <c r="F257" t="s">
        <v>42</v>
      </c>
      <c r="G257">
        <v>188674.81464232618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-56194.702107685851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5">
      <c r="A258" t="s">
        <v>151</v>
      </c>
      <c r="B258" t="s">
        <v>51</v>
      </c>
      <c r="C258" t="s">
        <v>76</v>
      </c>
      <c r="D258">
        <v>1</v>
      </c>
      <c r="E258">
        <v>2050</v>
      </c>
      <c r="F258" t="s">
        <v>42</v>
      </c>
      <c r="G258">
        <v>1176691.6311430086</v>
      </c>
      <c r="H258">
        <v>85441.004824644508</v>
      </c>
      <c r="I258">
        <v>103062.42440743271</v>
      </c>
      <c r="J258">
        <v>0</v>
      </c>
      <c r="K258">
        <v>0</v>
      </c>
      <c r="L258">
        <v>0</v>
      </c>
      <c r="M258">
        <v>233733.85437382606</v>
      </c>
      <c r="N258">
        <v>754454.34753710544</v>
      </c>
      <c r="O258">
        <v>0</v>
      </c>
      <c r="P258">
        <v>0</v>
      </c>
      <c r="Q258">
        <v>233733.85437382606</v>
      </c>
      <c r="R258">
        <v>0</v>
      </c>
      <c r="S258">
        <v>2.4158278537073001</v>
      </c>
      <c r="T258">
        <v>0</v>
      </c>
      <c r="U258">
        <v>2.4158278537073001</v>
      </c>
      <c r="V258">
        <v>0</v>
      </c>
      <c r="W258">
        <v>198673.77621775214</v>
      </c>
      <c r="X258">
        <v>0</v>
      </c>
      <c r="Y258">
        <v>198673.77621775214</v>
      </c>
      <c r="Z258">
        <v>0</v>
      </c>
    </row>
    <row r="259" spans="1:26" x14ac:dyDescent="0.25">
      <c r="A259" t="s">
        <v>151</v>
      </c>
      <c r="B259" t="s">
        <v>55</v>
      </c>
      <c r="C259" t="s">
        <v>72</v>
      </c>
      <c r="D259">
        <v>1</v>
      </c>
      <c r="E259">
        <v>2050</v>
      </c>
      <c r="F259" t="s">
        <v>42</v>
      </c>
      <c r="G259">
        <v>457927.02496060182</v>
      </c>
      <c r="H259">
        <v>0</v>
      </c>
      <c r="I259">
        <v>0</v>
      </c>
      <c r="J259">
        <v>0</v>
      </c>
      <c r="K259">
        <v>456618.20807643177</v>
      </c>
      <c r="L259">
        <v>0</v>
      </c>
      <c r="M259">
        <v>1308.8168841700535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0.79873496822573153</v>
      </c>
      <c r="T259">
        <v>0.77536968058834654</v>
      </c>
      <c r="U259">
        <v>2.336528763738499E-2</v>
      </c>
      <c r="V259">
        <v>0</v>
      </c>
      <c r="W259">
        <v>137378.10748818054</v>
      </c>
      <c r="X259">
        <v>136985.46242292953</v>
      </c>
      <c r="Y259">
        <v>392.64506525101024</v>
      </c>
      <c r="Z259">
        <v>0</v>
      </c>
    </row>
    <row r="260" spans="1:26" x14ac:dyDescent="0.25">
      <c r="A260" t="s">
        <v>151</v>
      </c>
      <c r="B260" t="s">
        <v>62</v>
      </c>
      <c r="C260" t="s">
        <v>85</v>
      </c>
      <c r="D260">
        <v>0</v>
      </c>
      <c r="E260">
        <v>2050</v>
      </c>
      <c r="F260" t="s">
        <v>42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25">
      <c r="A261" t="s">
        <v>151</v>
      </c>
      <c r="B261" t="s">
        <v>48</v>
      </c>
      <c r="C261" t="s">
        <v>72</v>
      </c>
      <c r="D261">
        <v>1</v>
      </c>
      <c r="E261">
        <v>2050</v>
      </c>
      <c r="F261" t="s">
        <v>42</v>
      </c>
      <c r="G261">
        <v>203334.81459864558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203334.81459864558</v>
      </c>
      <c r="P261">
        <v>203334.81459864558</v>
      </c>
      <c r="Q261">
        <v>0</v>
      </c>
      <c r="R261">
        <v>0.88107618518182917</v>
      </c>
      <c r="S261">
        <v>0.88107618518182917</v>
      </c>
      <c r="T261">
        <v>0</v>
      </c>
      <c r="U261">
        <v>0.88107618518182917</v>
      </c>
      <c r="V261">
        <v>85400.622131431141</v>
      </c>
      <c r="W261">
        <v>85400.622131431141</v>
      </c>
      <c r="X261">
        <v>0</v>
      </c>
      <c r="Y261">
        <v>85400.622131431141</v>
      </c>
      <c r="Z261">
        <v>0</v>
      </c>
    </row>
    <row r="262" spans="1:26" x14ac:dyDescent="0.25">
      <c r="A262" t="s">
        <v>151</v>
      </c>
      <c r="B262" t="s">
        <v>77</v>
      </c>
      <c r="C262" t="s">
        <v>85</v>
      </c>
      <c r="D262">
        <v>0</v>
      </c>
      <c r="E262">
        <v>2050</v>
      </c>
      <c r="F262" t="s">
        <v>42</v>
      </c>
      <c r="G262">
        <v>205487.10921261593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205487.10921261593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151</v>
      </c>
      <c r="B263" t="s">
        <v>30</v>
      </c>
      <c r="C263" t="s">
        <v>85</v>
      </c>
      <c r="D263">
        <v>0</v>
      </c>
      <c r="E263">
        <v>2050</v>
      </c>
      <c r="F263" t="s">
        <v>42</v>
      </c>
      <c r="G263">
        <v>503767.23930054478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391791.73164099152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151</v>
      </c>
      <c r="B264" t="s">
        <v>28</v>
      </c>
      <c r="C264" t="s">
        <v>76</v>
      </c>
      <c r="D264">
        <v>1</v>
      </c>
      <c r="E264">
        <v>2050</v>
      </c>
      <c r="F264" t="s">
        <v>42</v>
      </c>
      <c r="G264">
        <v>1888112.4783458344</v>
      </c>
      <c r="H264">
        <v>716306.46013408503</v>
      </c>
      <c r="I264">
        <v>0</v>
      </c>
      <c r="J264">
        <v>268249.01834925939</v>
      </c>
      <c r="K264">
        <v>0</v>
      </c>
      <c r="L264">
        <v>0</v>
      </c>
      <c r="M264">
        <v>0</v>
      </c>
      <c r="N264">
        <v>0</v>
      </c>
      <c r="O264">
        <v>903556.99986248999</v>
      </c>
      <c r="P264">
        <v>136085.90197197977</v>
      </c>
      <c r="Q264">
        <v>0</v>
      </c>
      <c r="R264">
        <v>0.46607516222775469</v>
      </c>
      <c r="S264">
        <v>0.46607516222775469</v>
      </c>
      <c r="T264">
        <v>0</v>
      </c>
      <c r="U264">
        <v>0.46607516222775469</v>
      </c>
      <c r="V264">
        <v>42186.629611313729</v>
      </c>
      <c r="W264">
        <v>42186.629611313729</v>
      </c>
      <c r="X264">
        <v>0</v>
      </c>
      <c r="Y264">
        <v>42186.629611313729</v>
      </c>
      <c r="Z264">
        <v>0</v>
      </c>
    </row>
    <row r="265" spans="1:26" x14ac:dyDescent="0.25">
      <c r="A265" t="s">
        <v>151</v>
      </c>
      <c r="B265" t="s">
        <v>68</v>
      </c>
      <c r="C265" t="s">
        <v>85</v>
      </c>
      <c r="D265">
        <v>0</v>
      </c>
      <c r="E265">
        <v>2050</v>
      </c>
      <c r="F265" t="s">
        <v>42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314230.43593569164</v>
      </c>
      <c r="M265">
        <v>0</v>
      </c>
      <c r="N265">
        <v>0</v>
      </c>
      <c r="O265">
        <v>-314230.43593569164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151</v>
      </c>
      <c r="B266" t="s">
        <v>44</v>
      </c>
      <c r="C266" t="s">
        <v>73</v>
      </c>
      <c r="D266">
        <v>1</v>
      </c>
      <c r="E266">
        <v>2050</v>
      </c>
      <c r="F266" t="s">
        <v>42</v>
      </c>
      <c r="G266">
        <v>905156.40673249087</v>
      </c>
      <c r="H266">
        <v>0</v>
      </c>
      <c r="I266">
        <v>0</v>
      </c>
      <c r="J266">
        <v>0</v>
      </c>
      <c r="K266">
        <v>814640.76605924184</v>
      </c>
      <c r="L266">
        <v>90515.640673249072</v>
      </c>
      <c r="M266">
        <v>0</v>
      </c>
      <c r="N266">
        <v>0</v>
      </c>
      <c r="O266">
        <v>0</v>
      </c>
      <c r="P266">
        <v>0</v>
      </c>
      <c r="Q266">
        <v>814640.76605924184</v>
      </c>
      <c r="R266">
        <v>0</v>
      </c>
      <c r="S266">
        <v>0.4123630093715277</v>
      </c>
      <c r="T266">
        <v>0.4123630093715277</v>
      </c>
      <c r="U266">
        <v>0</v>
      </c>
      <c r="V266">
        <v>0</v>
      </c>
      <c r="W266">
        <v>61912.698220502381</v>
      </c>
      <c r="X266">
        <v>61912.698220502381</v>
      </c>
      <c r="Y266">
        <v>0</v>
      </c>
      <c r="Z266">
        <v>0</v>
      </c>
    </row>
    <row r="267" spans="1:26" x14ac:dyDescent="0.25">
      <c r="A267" t="s">
        <v>151</v>
      </c>
      <c r="B267" t="s">
        <v>58</v>
      </c>
      <c r="C267" t="s">
        <v>85</v>
      </c>
      <c r="D267">
        <v>0</v>
      </c>
      <c r="E267">
        <v>2050</v>
      </c>
      <c r="F267" t="s">
        <v>42</v>
      </c>
      <c r="G267">
        <v>113070.46736338305</v>
      </c>
      <c r="H267">
        <v>168543.55648210307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-55473.089118720018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151</v>
      </c>
      <c r="B268" t="s">
        <v>53</v>
      </c>
      <c r="C268" t="s">
        <v>75</v>
      </c>
      <c r="D268">
        <v>1</v>
      </c>
      <c r="E268">
        <v>2050</v>
      </c>
      <c r="F268" t="s">
        <v>42</v>
      </c>
      <c r="G268">
        <v>1840575.1676958946</v>
      </c>
      <c r="H268">
        <v>759973.58711494633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1080601.5805809484</v>
      </c>
      <c r="P268">
        <v>129484.85619510757</v>
      </c>
      <c r="Q268">
        <v>0</v>
      </c>
      <c r="R268">
        <v>0.46485063374043623</v>
      </c>
      <c r="S268">
        <v>0.46485063374043623</v>
      </c>
      <c r="T268">
        <v>0</v>
      </c>
      <c r="U268">
        <v>0.46485063374043623</v>
      </c>
      <c r="V268">
        <v>38845.45685853227</v>
      </c>
      <c r="W268">
        <v>38845.45685853227</v>
      </c>
      <c r="X268">
        <v>0</v>
      </c>
      <c r="Y268">
        <v>38845.45685853227</v>
      </c>
      <c r="Z268">
        <v>0</v>
      </c>
    </row>
    <row r="269" spans="1:26" x14ac:dyDescent="0.25">
      <c r="A269" t="s">
        <v>151</v>
      </c>
      <c r="B269" t="s">
        <v>37</v>
      </c>
      <c r="C269" t="s">
        <v>85</v>
      </c>
      <c r="D269">
        <v>0</v>
      </c>
      <c r="E269">
        <v>2050</v>
      </c>
      <c r="F269" t="s">
        <v>42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151</v>
      </c>
      <c r="B270" t="s">
        <v>34</v>
      </c>
      <c r="C270" t="s">
        <v>78</v>
      </c>
      <c r="D270">
        <v>1</v>
      </c>
      <c r="E270">
        <v>2050</v>
      </c>
      <c r="F270" t="s">
        <v>42</v>
      </c>
      <c r="G270">
        <v>69865.048763892031</v>
      </c>
      <c r="H270">
        <v>28788.583432446812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41076.465331445215</v>
      </c>
      <c r="P270">
        <v>16124.481170461746</v>
      </c>
      <c r="Q270">
        <v>0</v>
      </c>
      <c r="R270">
        <v>1.4471721850489418E-2</v>
      </c>
      <c r="S270">
        <v>1.4471721850489418E-2</v>
      </c>
      <c r="T270">
        <v>0</v>
      </c>
      <c r="U270">
        <v>1.4471721850489418E-2</v>
      </c>
      <c r="V270">
        <v>2418.672175569262</v>
      </c>
      <c r="W270">
        <v>2418.672175569262</v>
      </c>
      <c r="X270">
        <v>0</v>
      </c>
      <c r="Y270">
        <v>2418.672175569262</v>
      </c>
      <c r="Z270">
        <v>0</v>
      </c>
    </row>
    <row r="271" spans="1:26" x14ac:dyDescent="0.25">
      <c r="A271" t="s">
        <v>151</v>
      </c>
      <c r="B271" t="s">
        <v>32</v>
      </c>
      <c r="C271" t="s">
        <v>85</v>
      </c>
      <c r="D271">
        <v>0</v>
      </c>
      <c r="E271">
        <v>2050</v>
      </c>
      <c r="F271" t="s">
        <v>42</v>
      </c>
      <c r="G271">
        <v>7305.5635465813803</v>
      </c>
      <c r="H271">
        <v>0</v>
      </c>
      <c r="I271">
        <v>0</v>
      </c>
      <c r="J271">
        <v>32647.628233222706</v>
      </c>
      <c r="K271">
        <v>0</v>
      </c>
      <c r="L271">
        <v>0</v>
      </c>
      <c r="M271">
        <v>0</v>
      </c>
      <c r="N271">
        <v>0</v>
      </c>
      <c r="O271">
        <v>-25342.064686641326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5">
      <c r="A272" t="s">
        <v>151</v>
      </c>
      <c r="B272" t="s">
        <v>79</v>
      </c>
      <c r="C272" t="s">
        <v>85</v>
      </c>
      <c r="D272">
        <v>0</v>
      </c>
      <c r="E272">
        <v>2050</v>
      </c>
      <c r="F272" t="s">
        <v>42</v>
      </c>
      <c r="G272">
        <v>451416.23756538174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451416.23756538174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151</v>
      </c>
      <c r="B273" t="s">
        <v>64</v>
      </c>
      <c r="C273" t="s">
        <v>80</v>
      </c>
      <c r="D273">
        <v>1</v>
      </c>
      <c r="E273">
        <v>2050</v>
      </c>
      <c r="F273" t="s">
        <v>42</v>
      </c>
      <c r="G273">
        <v>38545.761999241557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38545.761999241557</v>
      </c>
      <c r="N273">
        <v>0</v>
      </c>
      <c r="O273">
        <v>0</v>
      </c>
      <c r="P273">
        <v>0</v>
      </c>
      <c r="Q273">
        <v>38545.761999241557</v>
      </c>
      <c r="R273">
        <v>0</v>
      </c>
      <c r="S273">
        <v>0.70924202078604448</v>
      </c>
      <c r="T273">
        <v>0</v>
      </c>
      <c r="U273">
        <v>0.70924202078604448</v>
      </c>
      <c r="V273">
        <v>0</v>
      </c>
      <c r="W273">
        <v>15996.491229685247</v>
      </c>
      <c r="X273">
        <v>0</v>
      </c>
      <c r="Y273">
        <v>15996.491229685247</v>
      </c>
      <c r="Z273">
        <v>0</v>
      </c>
    </row>
    <row r="274" spans="1:26" x14ac:dyDescent="0.25">
      <c r="A274" t="s">
        <v>151</v>
      </c>
      <c r="B274" t="s">
        <v>137</v>
      </c>
      <c r="C274" t="s">
        <v>139</v>
      </c>
      <c r="D274">
        <v>1</v>
      </c>
      <c r="E274">
        <v>2050</v>
      </c>
      <c r="F274" t="s">
        <v>42</v>
      </c>
      <c r="G274">
        <v>422494.43462077907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422494.43462077907</v>
      </c>
      <c r="N274">
        <v>0</v>
      </c>
      <c r="O274">
        <v>0</v>
      </c>
      <c r="P274">
        <v>0</v>
      </c>
      <c r="Q274">
        <v>422494.43462077907</v>
      </c>
      <c r="R274">
        <v>0</v>
      </c>
      <c r="S274">
        <v>3.7861536976802088</v>
      </c>
      <c r="T274">
        <v>0</v>
      </c>
      <c r="U274">
        <v>3.7861536976802088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151</v>
      </c>
      <c r="B275" t="s">
        <v>138</v>
      </c>
      <c r="C275" t="s">
        <v>139</v>
      </c>
      <c r="D275">
        <v>1</v>
      </c>
      <c r="E275">
        <v>2050</v>
      </c>
      <c r="F275" t="s">
        <v>42</v>
      </c>
      <c r="G275">
        <v>105623.60865519477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105623.60865519477</v>
      </c>
      <c r="N275">
        <v>0</v>
      </c>
      <c r="O275">
        <v>0</v>
      </c>
      <c r="P275">
        <v>0</v>
      </c>
      <c r="Q275">
        <v>105623.60865519477</v>
      </c>
      <c r="R275">
        <v>0</v>
      </c>
      <c r="S275">
        <v>3.5139465690888216</v>
      </c>
      <c r="T275">
        <v>0</v>
      </c>
      <c r="U275">
        <v>3.5139465690888216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151</v>
      </c>
      <c r="B276" t="s">
        <v>81</v>
      </c>
      <c r="C276" t="s">
        <v>85</v>
      </c>
      <c r="D276">
        <v>0</v>
      </c>
      <c r="E276">
        <v>2050</v>
      </c>
      <c r="F276" t="s">
        <v>42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151</v>
      </c>
      <c r="B277" t="s">
        <v>71</v>
      </c>
      <c r="C277" t="s">
        <v>85</v>
      </c>
      <c r="D277">
        <v>0</v>
      </c>
      <c r="E277">
        <v>2050</v>
      </c>
      <c r="F277" t="s">
        <v>42</v>
      </c>
      <c r="G277">
        <v>155118.87333988555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155118.87333988555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151</v>
      </c>
      <c r="B278" t="s">
        <v>57</v>
      </c>
      <c r="C278" t="s">
        <v>85</v>
      </c>
      <c r="D278">
        <v>0</v>
      </c>
      <c r="E278">
        <v>2050</v>
      </c>
      <c r="F278" t="s">
        <v>42</v>
      </c>
      <c r="G278">
        <v>77559.436669942777</v>
      </c>
      <c r="H278">
        <v>32204.032301743569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45355.404368199204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151</v>
      </c>
      <c r="B279" t="s">
        <v>63</v>
      </c>
      <c r="C279" t="s">
        <v>63</v>
      </c>
      <c r="D279">
        <v>1</v>
      </c>
      <c r="E279">
        <v>2050</v>
      </c>
      <c r="F279" t="s">
        <v>42</v>
      </c>
      <c r="G279">
        <v>49638.039468763382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49638.039468763382</v>
      </c>
      <c r="N279">
        <v>0</v>
      </c>
      <c r="O279">
        <v>0</v>
      </c>
      <c r="P279">
        <v>0</v>
      </c>
      <c r="Q279">
        <v>49638.039468763382</v>
      </c>
      <c r="R279">
        <v>0</v>
      </c>
      <c r="S279">
        <v>1.7373313814067182</v>
      </c>
      <c r="T279">
        <v>0</v>
      </c>
      <c r="U279">
        <v>1.7373313814067182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151</v>
      </c>
      <c r="B280" t="s">
        <v>54</v>
      </c>
      <c r="C280" t="s">
        <v>75</v>
      </c>
      <c r="D280">
        <v>1</v>
      </c>
      <c r="E280">
        <v>2050</v>
      </c>
      <c r="F280" t="s">
        <v>42</v>
      </c>
      <c r="G280">
        <v>2244717.5718920124</v>
      </c>
      <c r="H280">
        <v>916911.47014555836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1327806.1017464539</v>
      </c>
      <c r="P280">
        <v>248771.53984147869</v>
      </c>
      <c r="Q280">
        <v>0</v>
      </c>
      <c r="R280">
        <v>0.67517590999136678</v>
      </c>
      <c r="S280">
        <v>0.67517590999136678</v>
      </c>
      <c r="T280">
        <v>0</v>
      </c>
      <c r="U280">
        <v>0.67517590999136678</v>
      </c>
      <c r="V280">
        <v>49754.30796829574</v>
      </c>
      <c r="W280">
        <v>49754.30796829574</v>
      </c>
      <c r="X280">
        <v>0</v>
      </c>
      <c r="Y280">
        <v>49754.30796829574</v>
      </c>
      <c r="Z280">
        <v>0</v>
      </c>
    </row>
    <row r="281" spans="1:26" x14ac:dyDescent="0.25">
      <c r="A281" t="s">
        <v>151</v>
      </c>
      <c r="B281" t="s">
        <v>82</v>
      </c>
      <c r="C281" t="s">
        <v>85</v>
      </c>
      <c r="D281">
        <v>0</v>
      </c>
      <c r="E281">
        <v>2050</v>
      </c>
      <c r="F281" t="s">
        <v>42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151</v>
      </c>
      <c r="B282" t="s">
        <v>61</v>
      </c>
      <c r="C282" t="s">
        <v>85</v>
      </c>
      <c r="D282">
        <v>0</v>
      </c>
      <c r="E282">
        <v>2050</v>
      </c>
      <c r="F282" t="s">
        <v>42</v>
      </c>
      <c r="G282">
        <v>17785.773783011035</v>
      </c>
      <c r="H282">
        <v>5904.2767475999999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11881.497035411034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151</v>
      </c>
      <c r="B283" t="s">
        <v>46</v>
      </c>
      <c r="C283" t="s">
        <v>72</v>
      </c>
      <c r="D283">
        <v>1</v>
      </c>
      <c r="E283">
        <v>2050</v>
      </c>
      <c r="F283" t="s">
        <v>42</v>
      </c>
      <c r="G283">
        <v>3500281.4918378997</v>
      </c>
      <c r="H283">
        <v>0</v>
      </c>
      <c r="I283">
        <v>0</v>
      </c>
      <c r="J283">
        <v>0</v>
      </c>
      <c r="K283">
        <v>3150253.3426541099</v>
      </c>
      <c r="L283">
        <v>0</v>
      </c>
      <c r="M283">
        <v>0</v>
      </c>
      <c r="N283">
        <v>0</v>
      </c>
      <c r="O283">
        <v>350028.14918378973</v>
      </c>
      <c r="P283">
        <v>350028.14918378973</v>
      </c>
      <c r="Q283">
        <v>3150253.3426541099</v>
      </c>
      <c r="R283">
        <v>0.17466754672420293</v>
      </c>
      <c r="S283">
        <v>1.7466754672420306</v>
      </c>
      <c r="T283">
        <v>1.5720079205178277</v>
      </c>
      <c r="U283">
        <v>0.17466754672420293</v>
      </c>
      <c r="V283">
        <v>21001.688951027383</v>
      </c>
      <c r="W283">
        <v>210016.88951027396</v>
      </c>
      <c r="X283">
        <v>189015.20055924659</v>
      </c>
      <c r="Y283">
        <v>21001.688951027376</v>
      </c>
      <c r="Z283">
        <v>0</v>
      </c>
    </row>
    <row r="284" spans="1:26" x14ac:dyDescent="0.25">
      <c r="A284" t="s">
        <v>151</v>
      </c>
      <c r="B284" t="s">
        <v>43</v>
      </c>
      <c r="C284" t="s">
        <v>73</v>
      </c>
      <c r="D284">
        <v>1</v>
      </c>
      <c r="E284">
        <v>2050</v>
      </c>
      <c r="F284" t="s">
        <v>42</v>
      </c>
      <c r="G284">
        <v>2091197.4416372697</v>
      </c>
      <c r="H284">
        <v>0</v>
      </c>
      <c r="I284">
        <v>0</v>
      </c>
      <c r="J284">
        <v>0</v>
      </c>
      <c r="K284">
        <v>1882077.6974735428</v>
      </c>
      <c r="L284">
        <v>209119.74416372692</v>
      </c>
      <c r="M284">
        <v>0</v>
      </c>
      <c r="N284">
        <v>0</v>
      </c>
      <c r="O284">
        <v>0</v>
      </c>
      <c r="P284">
        <v>0</v>
      </c>
      <c r="Q284">
        <v>1882077.6974735428</v>
      </c>
      <c r="R284">
        <v>0</v>
      </c>
      <c r="S284">
        <v>0.8107990720716024</v>
      </c>
      <c r="T284">
        <v>0.8107990720716024</v>
      </c>
      <c r="U284">
        <v>0</v>
      </c>
      <c r="V284">
        <v>0</v>
      </c>
      <c r="W284">
        <v>94103.884873677147</v>
      </c>
      <c r="X284">
        <v>94103.884873677147</v>
      </c>
      <c r="Y284">
        <v>0</v>
      </c>
      <c r="Z284">
        <v>0</v>
      </c>
    </row>
    <row r="285" spans="1:26" x14ac:dyDescent="0.25">
      <c r="A285" t="s">
        <v>151</v>
      </c>
      <c r="B285" t="s">
        <v>31</v>
      </c>
      <c r="C285" t="s">
        <v>85</v>
      </c>
      <c r="D285">
        <v>0</v>
      </c>
      <c r="E285">
        <v>2050</v>
      </c>
      <c r="F285" t="s">
        <v>42</v>
      </c>
      <c r="G285">
        <v>194183.99559105173</v>
      </c>
      <c r="H285">
        <v>0</v>
      </c>
      <c r="I285">
        <v>0</v>
      </c>
      <c r="J285">
        <v>66284.578534118831</v>
      </c>
      <c r="K285">
        <v>0</v>
      </c>
      <c r="L285">
        <v>0</v>
      </c>
      <c r="M285">
        <v>0</v>
      </c>
      <c r="N285">
        <v>0</v>
      </c>
      <c r="O285">
        <v>127899.4170569329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151</v>
      </c>
      <c r="B286" t="s">
        <v>35</v>
      </c>
      <c r="C286" t="s">
        <v>78</v>
      </c>
      <c r="D286">
        <v>1</v>
      </c>
      <c r="E286">
        <v>2050</v>
      </c>
      <c r="F286" t="s">
        <v>42</v>
      </c>
      <c r="G286">
        <v>36000</v>
      </c>
      <c r="H286">
        <v>11938.794894044118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24061.20510595588</v>
      </c>
      <c r="P286">
        <v>11393.130418235298</v>
      </c>
      <c r="Q286">
        <v>0</v>
      </c>
      <c r="R286">
        <v>1.0225334550366181E-2</v>
      </c>
      <c r="S286">
        <v>1.0225334550366181E-2</v>
      </c>
      <c r="T286">
        <v>0</v>
      </c>
      <c r="U286">
        <v>1.0225334550366181E-2</v>
      </c>
      <c r="V286">
        <v>1708.9695627352946</v>
      </c>
      <c r="W286">
        <v>1708.9695627352946</v>
      </c>
      <c r="X286">
        <v>0</v>
      </c>
      <c r="Y286">
        <v>1708.9695627352946</v>
      </c>
      <c r="Z286">
        <v>0</v>
      </c>
    </row>
    <row r="287" spans="1:26" x14ac:dyDescent="0.25">
      <c r="A287" t="s">
        <v>151</v>
      </c>
      <c r="B287" t="s">
        <v>83</v>
      </c>
      <c r="C287" t="s">
        <v>85</v>
      </c>
      <c r="D287">
        <v>1</v>
      </c>
      <c r="E287">
        <v>2050</v>
      </c>
      <c r="F287" t="s">
        <v>42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151</v>
      </c>
      <c r="B288" t="s">
        <v>65</v>
      </c>
      <c r="C288" t="s">
        <v>80</v>
      </c>
      <c r="D288">
        <v>1</v>
      </c>
      <c r="E288">
        <v>2050</v>
      </c>
      <c r="F288" t="s">
        <v>42</v>
      </c>
      <c r="G288">
        <v>671679.24992986186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671679.24992986186</v>
      </c>
      <c r="N288">
        <v>0</v>
      </c>
      <c r="O288">
        <v>0</v>
      </c>
      <c r="P288">
        <v>0</v>
      </c>
      <c r="Q288">
        <v>671679.24992986186</v>
      </c>
      <c r="R288">
        <v>0</v>
      </c>
      <c r="S288">
        <v>9.7350294880795385</v>
      </c>
      <c r="T288">
        <v>0</v>
      </c>
      <c r="U288">
        <v>9.7350294880795385</v>
      </c>
      <c r="V288">
        <v>0</v>
      </c>
      <c r="W288">
        <v>332201.36236114416</v>
      </c>
      <c r="X288">
        <v>0</v>
      </c>
      <c r="Y288">
        <v>332201.36236114416</v>
      </c>
      <c r="Z288">
        <v>0</v>
      </c>
    </row>
    <row r="289" spans="1:26" x14ac:dyDescent="0.25">
      <c r="A289" t="s">
        <v>151</v>
      </c>
      <c r="B289" t="s">
        <v>84</v>
      </c>
      <c r="C289" t="s">
        <v>85</v>
      </c>
      <c r="D289">
        <v>0</v>
      </c>
      <c r="E289">
        <v>2050</v>
      </c>
      <c r="F289" t="s">
        <v>42</v>
      </c>
      <c r="G289">
        <v>194965.02502381144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194965.02502381144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152</v>
      </c>
      <c r="B290" t="s">
        <v>39</v>
      </c>
      <c r="D290">
        <v>0</v>
      </c>
      <c r="E290">
        <v>2019</v>
      </c>
      <c r="F290" t="s">
        <v>27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152</v>
      </c>
      <c r="B291" t="s">
        <v>33</v>
      </c>
      <c r="D291">
        <v>0</v>
      </c>
      <c r="E291">
        <v>2019</v>
      </c>
      <c r="F291" t="s">
        <v>27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152</v>
      </c>
      <c r="B292" t="s">
        <v>47</v>
      </c>
      <c r="C292" t="s">
        <v>72</v>
      </c>
      <c r="D292">
        <v>1</v>
      </c>
      <c r="E292">
        <v>2019</v>
      </c>
      <c r="F292" t="s">
        <v>27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152</v>
      </c>
      <c r="B293" t="s">
        <v>11</v>
      </c>
      <c r="D293">
        <v>1</v>
      </c>
      <c r="E293">
        <v>2019</v>
      </c>
      <c r="F293" t="s">
        <v>27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152</v>
      </c>
      <c r="B294" t="s">
        <v>67</v>
      </c>
      <c r="D294">
        <v>0</v>
      </c>
      <c r="E294">
        <v>2019</v>
      </c>
      <c r="F294" t="s">
        <v>27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152</v>
      </c>
      <c r="B295" t="s">
        <v>50</v>
      </c>
      <c r="C295" t="s">
        <v>72</v>
      </c>
      <c r="D295">
        <v>1</v>
      </c>
      <c r="E295">
        <v>2019</v>
      </c>
      <c r="F295" t="s">
        <v>27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152</v>
      </c>
      <c r="B296" t="s">
        <v>49</v>
      </c>
      <c r="C296" t="s">
        <v>73</v>
      </c>
      <c r="D296">
        <v>1</v>
      </c>
      <c r="E296">
        <v>2019</v>
      </c>
      <c r="F296" t="s">
        <v>27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152</v>
      </c>
      <c r="B297" t="s">
        <v>59</v>
      </c>
      <c r="D297">
        <v>0</v>
      </c>
      <c r="E297">
        <v>2019</v>
      </c>
      <c r="F297" t="s">
        <v>27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152</v>
      </c>
      <c r="B298" t="s">
        <v>45</v>
      </c>
      <c r="C298" t="s">
        <v>73</v>
      </c>
      <c r="D298">
        <v>1</v>
      </c>
      <c r="E298">
        <v>2019</v>
      </c>
      <c r="F298" t="s">
        <v>27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152</v>
      </c>
      <c r="B299" t="s">
        <v>38</v>
      </c>
      <c r="D299">
        <v>0</v>
      </c>
      <c r="E299">
        <v>2019</v>
      </c>
      <c r="F299" t="s">
        <v>27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152</v>
      </c>
      <c r="B300" t="s">
        <v>74</v>
      </c>
      <c r="D300">
        <v>0</v>
      </c>
      <c r="E300">
        <v>2019</v>
      </c>
      <c r="F300" t="s">
        <v>27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152</v>
      </c>
      <c r="B301" t="s">
        <v>40</v>
      </c>
      <c r="D301">
        <v>0</v>
      </c>
      <c r="E301">
        <v>2019</v>
      </c>
      <c r="F301" t="s">
        <v>27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152</v>
      </c>
      <c r="B302" t="s">
        <v>56</v>
      </c>
      <c r="C302" t="s">
        <v>56</v>
      </c>
      <c r="D302">
        <v>1</v>
      </c>
      <c r="E302">
        <v>2019</v>
      </c>
      <c r="F302" t="s">
        <v>27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152</v>
      </c>
      <c r="B303" t="s">
        <v>52</v>
      </c>
      <c r="C303" t="s">
        <v>75</v>
      </c>
      <c r="D303">
        <v>1</v>
      </c>
      <c r="E303">
        <v>2019</v>
      </c>
      <c r="F303" t="s">
        <v>27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152</v>
      </c>
      <c r="B304" t="s">
        <v>60</v>
      </c>
      <c r="D304">
        <v>0</v>
      </c>
      <c r="E304">
        <v>2019</v>
      </c>
      <c r="F304" t="s">
        <v>27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152</v>
      </c>
      <c r="B305" t="s">
        <v>29</v>
      </c>
      <c r="D305">
        <v>0</v>
      </c>
      <c r="E305">
        <v>2019</v>
      </c>
      <c r="F305" t="s">
        <v>27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152</v>
      </c>
      <c r="B306" t="s">
        <v>51</v>
      </c>
      <c r="C306" t="s">
        <v>76</v>
      </c>
      <c r="D306">
        <v>1</v>
      </c>
      <c r="E306">
        <v>2019</v>
      </c>
      <c r="F306" t="s">
        <v>27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152</v>
      </c>
      <c r="B307" t="s">
        <v>55</v>
      </c>
      <c r="C307" t="s">
        <v>72</v>
      </c>
      <c r="D307">
        <v>1</v>
      </c>
      <c r="E307">
        <v>2019</v>
      </c>
      <c r="F307" t="s">
        <v>27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152</v>
      </c>
      <c r="B308" t="s">
        <v>62</v>
      </c>
      <c r="D308">
        <v>0</v>
      </c>
      <c r="E308">
        <v>2019</v>
      </c>
      <c r="F308" t="s">
        <v>27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152</v>
      </c>
      <c r="B309" t="s">
        <v>48</v>
      </c>
      <c r="C309" t="s">
        <v>72</v>
      </c>
      <c r="D309">
        <v>1</v>
      </c>
      <c r="E309">
        <v>2019</v>
      </c>
      <c r="F309" t="s">
        <v>27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152</v>
      </c>
      <c r="B310" t="s">
        <v>77</v>
      </c>
      <c r="D310">
        <v>0</v>
      </c>
      <c r="E310">
        <v>2019</v>
      </c>
      <c r="F310" t="s">
        <v>27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152</v>
      </c>
      <c r="B311" t="s">
        <v>30</v>
      </c>
      <c r="D311">
        <v>0</v>
      </c>
      <c r="E311">
        <v>2019</v>
      </c>
      <c r="F311" t="s">
        <v>27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152</v>
      </c>
      <c r="B312" t="s">
        <v>28</v>
      </c>
      <c r="C312" t="s">
        <v>76</v>
      </c>
      <c r="D312">
        <v>1</v>
      </c>
      <c r="E312">
        <v>2019</v>
      </c>
      <c r="F312" t="s">
        <v>27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152</v>
      </c>
      <c r="B313" t="s">
        <v>68</v>
      </c>
      <c r="D313">
        <v>0</v>
      </c>
      <c r="E313">
        <v>2019</v>
      </c>
      <c r="F313" t="s">
        <v>27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567745.18896312197</v>
      </c>
      <c r="M313">
        <v>0</v>
      </c>
      <c r="N313">
        <v>0</v>
      </c>
      <c r="O313">
        <v>-567745.18896312197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152</v>
      </c>
      <c r="B314" t="s">
        <v>44</v>
      </c>
      <c r="C314" t="s">
        <v>73</v>
      </c>
      <c r="D314">
        <v>1</v>
      </c>
      <c r="E314">
        <v>2019</v>
      </c>
      <c r="F314" t="s">
        <v>27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152</v>
      </c>
      <c r="B315" t="s">
        <v>58</v>
      </c>
      <c r="D315">
        <v>0</v>
      </c>
      <c r="E315">
        <v>2019</v>
      </c>
      <c r="F315" t="s">
        <v>27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152</v>
      </c>
      <c r="B316" t="s">
        <v>53</v>
      </c>
      <c r="C316" t="s">
        <v>75</v>
      </c>
      <c r="D316">
        <v>1</v>
      </c>
      <c r="E316">
        <v>2019</v>
      </c>
      <c r="F316" t="s">
        <v>27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152</v>
      </c>
      <c r="B317" t="s">
        <v>37</v>
      </c>
      <c r="D317">
        <v>0</v>
      </c>
      <c r="E317">
        <v>2019</v>
      </c>
      <c r="F317" t="s">
        <v>27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152</v>
      </c>
      <c r="B318" t="s">
        <v>34</v>
      </c>
      <c r="C318" t="s">
        <v>78</v>
      </c>
      <c r="D318">
        <v>1</v>
      </c>
      <c r="E318">
        <v>2019</v>
      </c>
      <c r="F318" t="s">
        <v>27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152</v>
      </c>
      <c r="B319" t="s">
        <v>32</v>
      </c>
      <c r="D319">
        <v>0</v>
      </c>
      <c r="E319">
        <v>2019</v>
      </c>
      <c r="F319" t="s">
        <v>27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152</v>
      </c>
      <c r="B320" t="s">
        <v>79</v>
      </c>
      <c r="D320">
        <v>0</v>
      </c>
      <c r="E320">
        <v>2019</v>
      </c>
      <c r="F320" t="s">
        <v>27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152</v>
      </c>
      <c r="B321" t="s">
        <v>64</v>
      </c>
      <c r="C321" t="s">
        <v>80</v>
      </c>
      <c r="D321">
        <v>1</v>
      </c>
      <c r="E321">
        <v>2019</v>
      </c>
      <c r="F321" t="s">
        <v>27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152</v>
      </c>
      <c r="B322" t="s">
        <v>137</v>
      </c>
      <c r="C322" t="s">
        <v>139</v>
      </c>
      <c r="D322">
        <v>1</v>
      </c>
      <c r="E322">
        <v>2019</v>
      </c>
      <c r="F322" t="s">
        <v>27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152</v>
      </c>
      <c r="B323" t="s">
        <v>138</v>
      </c>
      <c r="C323" t="s">
        <v>139</v>
      </c>
      <c r="D323">
        <v>1</v>
      </c>
      <c r="E323">
        <v>2019</v>
      </c>
      <c r="F323" t="s">
        <v>27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152</v>
      </c>
      <c r="B324" t="s">
        <v>81</v>
      </c>
      <c r="D324">
        <v>0</v>
      </c>
      <c r="E324">
        <v>2019</v>
      </c>
      <c r="F324" t="s">
        <v>27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152</v>
      </c>
      <c r="B325" t="s">
        <v>71</v>
      </c>
      <c r="D325">
        <v>0</v>
      </c>
      <c r="E325">
        <v>2019</v>
      </c>
      <c r="F325" t="s">
        <v>27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152</v>
      </c>
      <c r="B326" t="s">
        <v>57</v>
      </c>
      <c r="D326">
        <v>0</v>
      </c>
      <c r="E326">
        <v>2019</v>
      </c>
      <c r="F326" t="s">
        <v>27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152</v>
      </c>
      <c r="B327" t="s">
        <v>63</v>
      </c>
      <c r="C327" t="s">
        <v>63</v>
      </c>
      <c r="D327">
        <v>1</v>
      </c>
      <c r="E327">
        <v>2019</v>
      </c>
      <c r="F327" t="s">
        <v>27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80676.325166481722</v>
      </c>
      <c r="N327">
        <v>74470.453999829275</v>
      </c>
      <c r="O327">
        <v>0</v>
      </c>
      <c r="P327">
        <v>0</v>
      </c>
      <c r="Q327">
        <v>80676.325166481722</v>
      </c>
      <c r="R327">
        <v>0</v>
      </c>
      <c r="S327">
        <v>2.8236713808268599</v>
      </c>
      <c r="T327">
        <v>0</v>
      </c>
      <c r="U327">
        <v>2.8236713808268599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152</v>
      </c>
      <c r="B328" t="s">
        <v>54</v>
      </c>
      <c r="C328" t="s">
        <v>75</v>
      </c>
      <c r="D328">
        <v>1</v>
      </c>
      <c r="E328">
        <v>2019</v>
      </c>
      <c r="F328" t="s">
        <v>27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152</v>
      </c>
      <c r="B329" t="s">
        <v>82</v>
      </c>
      <c r="D329">
        <v>0</v>
      </c>
      <c r="E329">
        <v>2019</v>
      </c>
      <c r="F329" t="s">
        <v>27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152</v>
      </c>
      <c r="B330" t="s">
        <v>61</v>
      </c>
      <c r="D330">
        <v>0</v>
      </c>
      <c r="E330">
        <v>2019</v>
      </c>
      <c r="F330" t="s">
        <v>27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152</v>
      </c>
      <c r="B331" t="s">
        <v>46</v>
      </c>
      <c r="C331" t="s">
        <v>72</v>
      </c>
      <c r="D331">
        <v>1</v>
      </c>
      <c r="E331">
        <v>2019</v>
      </c>
      <c r="F331" t="s">
        <v>27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152</v>
      </c>
      <c r="B332" t="s">
        <v>43</v>
      </c>
      <c r="C332" t="s">
        <v>73</v>
      </c>
      <c r="D332">
        <v>1</v>
      </c>
      <c r="E332">
        <v>2019</v>
      </c>
      <c r="F332" t="s">
        <v>27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152</v>
      </c>
      <c r="B333" t="s">
        <v>31</v>
      </c>
      <c r="D333">
        <v>0</v>
      </c>
      <c r="E333">
        <v>2019</v>
      </c>
      <c r="F333" t="s">
        <v>27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152</v>
      </c>
      <c r="B334" t="s">
        <v>35</v>
      </c>
      <c r="C334" t="s">
        <v>78</v>
      </c>
      <c r="D334">
        <v>1</v>
      </c>
      <c r="E334">
        <v>2019</v>
      </c>
      <c r="F334" t="s">
        <v>27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152</v>
      </c>
      <c r="B335" t="s">
        <v>83</v>
      </c>
      <c r="D335">
        <v>1</v>
      </c>
      <c r="E335">
        <v>2019</v>
      </c>
      <c r="F335" t="s">
        <v>27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152</v>
      </c>
      <c r="B336" t="s">
        <v>65</v>
      </c>
      <c r="C336" t="s">
        <v>80</v>
      </c>
      <c r="D336">
        <v>1</v>
      </c>
      <c r="E336">
        <v>2019</v>
      </c>
      <c r="F336" t="s">
        <v>27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152</v>
      </c>
      <c r="B337" t="s">
        <v>84</v>
      </c>
      <c r="D337">
        <v>0</v>
      </c>
      <c r="E337">
        <v>2019</v>
      </c>
      <c r="F337" t="s">
        <v>27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640280.13059892249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152</v>
      </c>
      <c r="B338" t="s">
        <v>39</v>
      </c>
      <c r="C338" t="s">
        <v>85</v>
      </c>
      <c r="D338">
        <v>0</v>
      </c>
      <c r="E338">
        <v>2030</v>
      </c>
      <c r="F338" t="s">
        <v>27</v>
      </c>
      <c r="G338">
        <v>213791.94985288731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181212.16529988745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152</v>
      </c>
      <c r="B339" t="s">
        <v>33</v>
      </c>
      <c r="C339" t="s">
        <v>85</v>
      </c>
      <c r="D339">
        <v>0</v>
      </c>
      <c r="E339">
        <v>2030</v>
      </c>
      <c r="F339" t="s">
        <v>27</v>
      </c>
      <c r="G339">
        <v>747197.87963328755</v>
      </c>
      <c r="H339">
        <v>55111.238296058225</v>
      </c>
      <c r="I339">
        <v>0</v>
      </c>
      <c r="J339">
        <v>43439.71273733316</v>
      </c>
      <c r="K339">
        <v>0</v>
      </c>
      <c r="L339">
        <v>0</v>
      </c>
      <c r="M339">
        <v>0</v>
      </c>
      <c r="N339">
        <v>0</v>
      </c>
      <c r="O339">
        <v>648646.92859989614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152</v>
      </c>
      <c r="B340" t="s">
        <v>47</v>
      </c>
      <c r="C340" t="s">
        <v>72</v>
      </c>
      <c r="D340">
        <v>1</v>
      </c>
      <c r="E340">
        <v>2030</v>
      </c>
      <c r="F340" t="s">
        <v>27</v>
      </c>
      <c r="G340">
        <v>195082.22598438186</v>
      </c>
      <c r="H340">
        <v>0</v>
      </c>
      <c r="I340">
        <v>0</v>
      </c>
      <c r="J340">
        <v>0</v>
      </c>
      <c r="K340">
        <v>160784.27543959947</v>
      </c>
      <c r="L340">
        <v>0</v>
      </c>
      <c r="M340">
        <v>34297.95054478239</v>
      </c>
      <c r="N340">
        <v>0</v>
      </c>
      <c r="O340">
        <v>0</v>
      </c>
      <c r="P340">
        <v>0</v>
      </c>
      <c r="Q340">
        <v>195082.22598438186</v>
      </c>
      <c r="R340">
        <v>0</v>
      </c>
      <c r="S340">
        <v>1.1600721323705458</v>
      </c>
      <c r="T340">
        <v>0.54777755583792598</v>
      </c>
      <c r="U340">
        <v>0.61229457653261987</v>
      </c>
      <c r="V340">
        <v>0</v>
      </c>
      <c r="W340">
        <v>54623.023275626925</v>
      </c>
      <c r="X340">
        <v>45019.597123087857</v>
      </c>
      <c r="Y340">
        <v>9603.4261525390684</v>
      </c>
      <c r="Z340">
        <v>0</v>
      </c>
    </row>
    <row r="341" spans="1:26" x14ac:dyDescent="0.25">
      <c r="A341" t="s">
        <v>152</v>
      </c>
      <c r="B341" t="s">
        <v>11</v>
      </c>
      <c r="C341" t="s">
        <v>85</v>
      </c>
      <c r="D341">
        <v>1</v>
      </c>
      <c r="E341">
        <v>2030</v>
      </c>
      <c r="F341" t="s">
        <v>27</v>
      </c>
      <c r="G341">
        <v>458492732.54928213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458492732.54928213</v>
      </c>
      <c r="N341">
        <v>0</v>
      </c>
      <c r="O341">
        <v>0</v>
      </c>
      <c r="P341">
        <v>0</v>
      </c>
      <c r="Q341">
        <v>458492732.54928213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152</v>
      </c>
      <c r="B342" t="s">
        <v>67</v>
      </c>
      <c r="C342" t="s">
        <v>85</v>
      </c>
      <c r="D342">
        <v>0</v>
      </c>
      <c r="E342">
        <v>2030</v>
      </c>
      <c r="F342" t="s">
        <v>27</v>
      </c>
      <c r="G342">
        <v>15449003.550508432</v>
      </c>
      <c r="H342">
        <v>0</v>
      </c>
      <c r="I342">
        <v>0</v>
      </c>
      <c r="J342">
        <v>0</v>
      </c>
      <c r="K342">
        <v>0</v>
      </c>
      <c r="L342">
        <v>12112922.161420638</v>
      </c>
      <c r="M342">
        <v>0</v>
      </c>
      <c r="N342">
        <v>0</v>
      </c>
      <c r="O342">
        <v>3336081.3890877943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152</v>
      </c>
      <c r="B343" t="s">
        <v>50</v>
      </c>
      <c r="C343" t="s">
        <v>72</v>
      </c>
      <c r="D343">
        <v>1</v>
      </c>
      <c r="E343">
        <v>2030</v>
      </c>
      <c r="F343" t="s">
        <v>27</v>
      </c>
      <c r="G343">
        <v>961158.81391152041</v>
      </c>
      <c r="H343">
        <v>0</v>
      </c>
      <c r="I343">
        <v>0</v>
      </c>
      <c r="J343">
        <v>0</v>
      </c>
      <c r="K343">
        <v>480579.40695576021</v>
      </c>
      <c r="L343">
        <v>0</v>
      </c>
      <c r="M343">
        <v>0</v>
      </c>
      <c r="N343">
        <v>0</v>
      </c>
      <c r="O343">
        <v>480579.40695576021</v>
      </c>
      <c r="P343">
        <v>480579.40695576021</v>
      </c>
      <c r="Q343">
        <v>480579.40695576021</v>
      </c>
      <c r="R343">
        <v>0.2729816351908424</v>
      </c>
      <c r="S343">
        <v>0.5459632703816848</v>
      </c>
      <c r="T343">
        <v>0.2729816351908424</v>
      </c>
      <c r="U343">
        <v>0.2729816351908424</v>
      </c>
      <c r="V343">
        <v>20551.203432269995</v>
      </c>
      <c r="W343">
        <v>41102.406864539989</v>
      </c>
      <c r="X343">
        <v>20551.203432269995</v>
      </c>
      <c r="Y343">
        <v>20551.203432269995</v>
      </c>
      <c r="Z343">
        <v>0</v>
      </c>
    </row>
    <row r="344" spans="1:26" x14ac:dyDescent="0.25">
      <c r="A344" t="s">
        <v>152</v>
      </c>
      <c r="B344" t="s">
        <v>49</v>
      </c>
      <c r="C344" t="s">
        <v>73</v>
      </c>
      <c r="D344">
        <v>1</v>
      </c>
      <c r="E344">
        <v>2030</v>
      </c>
      <c r="F344" t="s">
        <v>27</v>
      </c>
      <c r="G344">
        <v>2276375.06039875</v>
      </c>
      <c r="H344">
        <v>0</v>
      </c>
      <c r="I344">
        <v>0</v>
      </c>
      <c r="J344">
        <v>0</v>
      </c>
      <c r="K344">
        <v>1138187.530199375</v>
      </c>
      <c r="L344">
        <v>430885.27928976336</v>
      </c>
      <c r="M344">
        <v>0</v>
      </c>
      <c r="N344">
        <v>0</v>
      </c>
      <c r="O344">
        <v>707302.25090961158</v>
      </c>
      <c r="P344">
        <v>707302.25090961158</v>
      </c>
      <c r="Q344">
        <v>1138187.530199375</v>
      </c>
      <c r="R344">
        <v>1.5235290484593034</v>
      </c>
      <c r="S344">
        <v>3.9751849885087571</v>
      </c>
      <c r="T344">
        <v>2.451655940049454</v>
      </c>
      <c r="U344">
        <v>1.5235290484593031</v>
      </c>
      <c r="V344">
        <v>212190.67527288347</v>
      </c>
      <c r="W344">
        <v>553646.93433269591</v>
      </c>
      <c r="X344">
        <v>341456.25905981247</v>
      </c>
      <c r="Y344">
        <v>212190.67527288344</v>
      </c>
      <c r="Z344">
        <v>0</v>
      </c>
    </row>
    <row r="345" spans="1:26" x14ac:dyDescent="0.25">
      <c r="A345" t="s">
        <v>152</v>
      </c>
      <c r="B345" t="s">
        <v>59</v>
      </c>
      <c r="C345" t="s">
        <v>85</v>
      </c>
      <c r="D345">
        <v>0</v>
      </c>
      <c r="E345">
        <v>2030</v>
      </c>
      <c r="F345" t="s">
        <v>27</v>
      </c>
      <c r="G345">
        <v>676980.81894536456</v>
      </c>
      <c r="H345">
        <v>694117.89226639119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-17137.073321026633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1</v>
      </c>
    </row>
    <row r="346" spans="1:26" x14ac:dyDescent="0.25">
      <c r="A346" t="s">
        <v>152</v>
      </c>
      <c r="B346" t="s">
        <v>45</v>
      </c>
      <c r="C346" t="s">
        <v>73</v>
      </c>
      <c r="D346">
        <v>1</v>
      </c>
      <c r="E346">
        <v>2030</v>
      </c>
      <c r="F346" t="s">
        <v>27</v>
      </c>
      <c r="G346">
        <v>8342.726135545483</v>
      </c>
      <c r="H346">
        <v>0</v>
      </c>
      <c r="I346">
        <v>0</v>
      </c>
      <c r="J346">
        <v>0</v>
      </c>
      <c r="K346">
        <v>4171.3630677727415</v>
      </c>
      <c r="L346">
        <v>4171.3630677727415</v>
      </c>
      <c r="M346">
        <v>0</v>
      </c>
      <c r="N346">
        <v>0</v>
      </c>
      <c r="O346">
        <v>0</v>
      </c>
      <c r="P346">
        <v>0</v>
      </c>
      <c r="Q346">
        <v>4171.3630677727415</v>
      </c>
      <c r="R346">
        <v>0</v>
      </c>
      <c r="S346">
        <v>1.9617503371428427E-3</v>
      </c>
      <c r="T346">
        <v>1.9617503371428427E-3</v>
      </c>
      <c r="U346">
        <v>0</v>
      </c>
      <c r="V346">
        <v>0</v>
      </c>
      <c r="W346">
        <v>262.79587326968272</v>
      </c>
      <c r="X346">
        <v>262.79587326968272</v>
      </c>
      <c r="Y346">
        <v>0</v>
      </c>
      <c r="Z346">
        <v>0</v>
      </c>
    </row>
    <row r="347" spans="1:26" x14ac:dyDescent="0.25">
      <c r="A347" t="s">
        <v>152</v>
      </c>
      <c r="B347" t="s">
        <v>38</v>
      </c>
      <c r="C347" t="s">
        <v>85</v>
      </c>
      <c r="D347">
        <v>0</v>
      </c>
      <c r="E347">
        <v>2030</v>
      </c>
      <c r="F347" t="s">
        <v>27</v>
      </c>
      <c r="G347">
        <v>181628.8895635134</v>
      </c>
      <c r="H347">
        <v>0</v>
      </c>
      <c r="I347">
        <v>0</v>
      </c>
      <c r="J347">
        <v>28235.813279266553</v>
      </c>
      <c r="K347">
        <v>0</v>
      </c>
      <c r="L347">
        <v>0</v>
      </c>
      <c r="M347">
        <v>0</v>
      </c>
      <c r="N347">
        <v>0</v>
      </c>
      <c r="O347">
        <v>153393.07628424684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152</v>
      </c>
      <c r="B348" t="s">
        <v>74</v>
      </c>
      <c r="C348" t="s">
        <v>85</v>
      </c>
      <c r="D348">
        <v>0</v>
      </c>
      <c r="E348">
        <v>2030</v>
      </c>
      <c r="F348" t="s">
        <v>27</v>
      </c>
      <c r="G348">
        <v>959213.50784581108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959213.50784581108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152</v>
      </c>
      <c r="B349" t="s">
        <v>40</v>
      </c>
      <c r="C349" t="s">
        <v>85</v>
      </c>
      <c r="D349">
        <v>0</v>
      </c>
      <c r="E349">
        <v>2030</v>
      </c>
      <c r="F349" t="s">
        <v>27</v>
      </c>
      <c r="G349">
        <v>27783.966986693249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-230139.32739122238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152</v>
      </c>
      <c r="B350" t="s">
        <v>56</v>
      </c>
      <c r="C350" t="s">
        <v>56</v>
      </c>
      <c r="D350">
        <v>1</v>
      </c>
      <c r="E350">
        <v>2030</v>
      </c>
      <c r="F350" t="s">
        <v>27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152</v>
      </c>
      <c r="B351" t="s">
        <v>52</v>
      </c>
      <c r="C351" t="s">
        <v>75</v>
      </c>
      <c r="D351">
        <v>1</v>
      </c>
      <c r="E351">
        <v>2030</v>
      </c>
      <c r="F351" t="s">
        <v>27</v>
      </c>
      <c r="G351">
        <v>11058573.197193578</v>
      </c>
      <c r="H351">
        <v>10194486.876003446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1966958.8877732051</v>
      </c>
      <c r="O351">
        <v>-1102872.5665830728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 x14ac:dyDescent="0.25">
      <c r="A352" t="s">
        <v>152</v>
      </c>
      <c r="B352" t="s">
        <v>60</v>
      </c>
      <c r="C352" t="s">
        <v>85</v>
      </c>
      <c r="D352">
        <v>0</v>
      </c>
      <c r="E352">
        <v>2030</v>
      </c>
      <c r="F352" t="s">
        <v>27</v>
      </c>
      <c r="G352">
        <v>328819.25491631991</v>
      </c>
      <c r="H352">
        <v>328819.25491631991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152</v>
      </c>
      <c r="B353" t="s">
        <v>29</v>
      </c>
      <c r="C353" t="s">
        <v>85</v>
      </c>
      <c r="D353">
        <v>0</v>
      </c>
      <c r="E353">
        <v>2030</v>
      </c>
      <c r="F353" t="s">
        <v>27</v>
      </c>
      <c r="G353">
        <v>1088816.000618035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818675.28703274438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 x14ac:dyDescent="0.25">
      <c r="A354" t="s">
        <v>152</v>
      </c>
      <c r="B354" t="s">
        <v>51</v>
      </c>
      <c r="C354" t="s">
        <v>76</v>
      </c>
      <c r="D354">
        <v>1</v>
      </c>
      <c r="E354">
        <v>2030</v>
      </c>
      <c r="F354" t="s">
        <v>27</v>
      </c>
      <c r="G354">
        <v>2313979.1385811386</v>
      </c>
      <c r="H354">
        <v>594794.43348335079</v>
      </c>
      <c r="I354">
        <v>619528.66726912896</v>
      </c>
      <c r="J354">
        <v>0</v>
      </c>
      <c r="K354">
        <v>580815.445162041</v>
      </c>
      <c r="L354">
        <v>0</v>
      </c>
      <c r="M354">
        <v>155830.9394403426</v>
      </c>
      <c r="N354">
        <v>363009.65322627564</v>
      </c>
      <c r="O354">
        <v>0</v>
      </c>
      <c r="P354">
        <v>0</v>
      </c>
      <c r="Q354">
        <v>736646.38460238359</v>
      </c>
      <c r="R354">
        <v>0</v>
      </c>
      <c r="S354">
        <v>4.9593530934003098</v>
      </c>
      <c r="T354">
        <v>3.3487146816995539</v>
      </c>
      <c r="U354">
        <v>1.6106384117007559</v>
      </c>
      <c r="V354">
        <v>0</v>
      </c>
      <c r="W354">
        <v>626149.42691202601</v>
      </c>
      <c r="X354">
        <v>493693.12838773482</v>
      </c>
      <c r="Y354">
        <v>132456.2985242912</v>
      </c>
      <c r="Z354">
        <v>0</v>
      </c>
    </row>
    <row r="355" spans="1:26" x14ac:dyDescent="0.25">
      <c r="A355" t="s">
        <v>152</v>
      </c>
      <c r="B355" t="s">
        <v>55</v>
      </c>
      <c r="C355" t="s">
        <v>72</v>
      </c>
      <c r="D355">
        <v>1</v>
      </c>
      <c r="E355">
        <v>2030</v>
      </c>
      <c r="F355" t="s">
        <v>27</v>
      </c>
      <c r="G355">
        <v>526734.10986839118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526734.10986839118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9.4033734851313486</v>
      </c>
      <c r="T355">
        <v>0</v>
      </c>
      <c r="U355">
        <v>9.4033734851313486</v>
      </c>
      <c r="V355">
        <v>0</v>
      </c>
      <c r="W355">
        <v>158020.23296051734</v>
      </c>
      <c r="X355">
        <v>0</v>
      </c>
      <c r="Y355">
        <v>158020.23296051734</v>
      </c>
      <c r="Z355">
        <v>0</v>
      </c>
    </row>
    <row r="356" spans="1:26" x14ac:dyDescent="0.25">
      <c r="A356" t="s">
        <v>152</v>
      </c>
      <c r="B356" t="s">
        <v>62</v>
      </c>
      <c r="C356" t="s">
        <v>85</v>
      </c>
      <c r="D356">
        <v>0</v>
      </c>
      <c r="E356">
        <v>2030</v>
      </c>
      <c r="F356" t="s">
        <v>27</v>
      </c>
      <c r="G356">
        <v>0</v>
      </c>
      <c r="H356">
        <v>2068314.9750861605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-2068314.9750861605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152</v>
      </c>
      <c r="B357" t="s">
        <v>48</v>
      </c>
      <c r="C357" t="s">
        <v>72</v>
      </c>
      <c r="D357">
        <v>1</v>
      </c>
      <c r="E357">
        <v>2030</v>
      </c>
      <c r="F357" t="s">
        <v>27</v>
      </c>
      <c r="G357">
        <v>474738.77277608734</v>
      </c>
      <c r="H357">
        <v>0</v>
      </c>
      <c r="I357">
        <v>0</v>
      </c>
      <c r="J357">
        <v>0</v>
      </c>
      <c r="K357">
        <v>423836.45238569059</v>
      </c>
      <c r="L357">
        <v>0</v>
      </c>
      <c r="M357">
        <v>0</v>
      </c>
      <c r="N357">
        <v>0</v>
      </c>
      <c r="O357">
        <v>50902.320390396751</v>
      </c>
      <c r="P357">
        <v>50902.320390396751</v>
      </c>
      <c r="Q357">
        <v>423836.45238569059</v>
      </c>
      <c r="R357">
        <v>0.22056637155323991</v>
      </c>
      <c r="S357">
        <v>1.7816240514403465</v>
      </c>
      <c r="T357">
        <v>1.5610576798871065</v>
      </c>
      <c r="U357">
        <v>0.22056637155323999</v>
      </c>
      <c r="V357">
        <v>21378.974563966636</v>
      </c>
      <c r="W357">
        <v>199390.28456595668</v>
      </c>
      <c r="X357">
        <v>178011.31000199003</v>
      </c>
      <c r="Y357">
        <v>21378.974563966651</v>
      </c>
      <c r="Z357">
        <v>0</v>
      </c>
    </row>
    <row r="358" spans="1:26" x14ac:dyDescent="0.25">
      <c r="A358" t="s">
        <v>152</v>
      </c>
      <c r="B358" t="s">
        <v>77</v>
      </c>
      <c r="C358" t="s">
        <v>85</v>
      </c>
      <c r="D358">
        <v>0</v>
      </c>
      <c r="E358">
        <v>2030</v>
      </c>
      <c r="F358" t="s">
        <v>27</v>
      </c>
      <c r="G358">
        <v>616907.80416019855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616907.80416019855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152</v>
      </c>
      <c r="B359" t="s">
        <v>30</v>
      </c>
      <c r="C359" t="s">
        <v>85</v>
      </c>
      <c r="D359">
        <v>0</v>
      </c>
      <c r="E359">
        <v>2030</v>
      </c>
      <c r="F359" t="s">
        <v>27</v>
      </c>
      <c r="G359">
        <v>1522690.1136138989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1399158.4305171077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152</v>
      </c>
      <c r="B360" t="s">
        <v>28</v>
      </c>
      <c r="C360" t="s">
        <v>76</v>
      </c>
      <c r="D360">
        <v>1</v>
      </c>
      <c r="E360">
        <v>2030</v>
      </c>
      <c r="F360" t="s">
        <v>27</v>
      </c>
      <c r="G360">
        <v>4744620.1999517428</v>
      </c>
      <c r="H360">
        <v>5024222.9237584407</v>
      </c>
      <c r="I360">
        <v>0</v>
      </c>
      <c r="J360">
        <v>295933.04302308214</v>
      </c>
      <c r="K360">
        <v>0</v>
      </c>
      <c r="L360">
        <v>0</v>
      </c>
      <c r="M360">
        <v>0</v>
      </c>
      <c r="N360">
        <v>0</v>
      </c>
      <c r="O360">
        <v>-575535.7668297803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</row>
    <row r="361" spans="1:26" x14ac:dyDescent="0.25">
      <c r="A361" t="s">
        <v>152</v>
      </c>
      <c r="B361" t="s">
        <v>68</v>
      </c>
      <c r="C361" t="s">
        <v>85</v>
      </c>
      <c r="D361">
        <v>0</v>
      </c>
      <c r="E361">
        <v>2030</v>
      </c>
      <c r="F361" t="s">
        <v>27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885489.82367012813</v>
      </c>
      <c r="M361">
        <v>0</v>
      </c>
      <c r="N361">
        <v>0</v>
      </c>
      <c r="O361">
        <v>-885489.82367012813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152</v>
      </c>
      <c r="B362" t="s">
        <v>44</v>
      </c>
      <c r="C362" t="s">
        <v>73</v>
      </c>
      <c r="D362">
        <v>1</v>
      </c>
      <c r="E362">
        <v>2030</v>
      </c>
      <c r="F362" t="s">
        <v>27</v>
      </c>
      <c r="G362">
        <v>11035972.204635417</v>
      </c>
      <c r="H362">
        <v>0</v>
      </c>
      <c r="I362">
        <v>0</v>
      </c>
      <c r="J362">
        <v>0</v>
      </c>
      <c r="K362">
        <v>5517986.1023177085</v>
      </c>
      <c r="L362">
        <v>5517986.1023177085</v>
      </c>
      <c r="M362">
        <v>0</v>
      </c>
      <c r="N362">
        <v>0</v>
      </c>
      <c r="O362">
        <v>0</v>
      </c>
      <c r="P362">
        <v>0</v>
      </c>
      <c r="Q362">
        <v>5517986.1023177085</v>
      </c>
      <c r="R362">
        <v>0</v>
      </c>
      <c r="S362">
        <v>2.7931493851322013</v>
      </c>
      <c r="T362">
        <v>2.7931493851322013</v>
      </c>
      <c r="U362">
        <v>0</v>
      </c>
      <c r="V362">
        <v>0</v>
      </c>
      <c r="W362">
        <v>419366.94377614581</v>
      </c>
      <c r="X362">
        <v>419366.94377614581</v>
      </c>
      <c r="Y362">
        <v>0</v>
      </c>
      <c r="Z362">
        <v>0</v>
      </c>
    </row>
    <row r="363" spans="1:26" x14ac:dyDescent="0.25">
      <c r="A363" t="s">
        <v>152</v>
      </c>
      <c r="B363" t="s">
        <v>58</v>
      </c>
      <c r="C363" t="s">
        <v>85</v>
      </c>
      <c r="D363">
        <v>0</v>
      </c>
      <c r="E363">
        <v>2030</v>
      </c>
      <c r="F363" t="s">
        <v>27</v>
      </c>
      <c r="G363">
        <v>1377844.7855616636</v>
      </c>
      <c r="H363">
        <v>1173309.8106791691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204534.97488249443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152</v>
      </c>
      <c r="B364" t="s">
        <v>53</v>
      </c>
      <c r="C364" t="s">
        <v>75</v>
      </c>
      <c r="D364">
        <v>1</v>
      </c>
      <c r="E364">
        <v>2030</v>
      </c>
      <c r="F364" t="s">
        <v>27</v>
      </c>
      <c r="G364">
        <v>4289444.9941263339</v>
      </c>
      <c r="H364">
        <v>4906538.3992409762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-617093.40511464234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</row>
    <row r="365" spans="1:26" x14ac:dyDescent="0.25">
      <c r="A365" t="s">
        <v>152</v>
      </c>
      <c r="B365" t="s">
        <v>37</v>
      </c>
      <c r="C365" t="s">
        <v>85</v>
      </c>
      <c r="D365">
        <v>0</v>
      </c>
      <c r="E365">
        <v>2030</v>
      </c>
      <c r="F365" t="s">
        <v>27</v>
      </c>
      <c r="G365">
        <v>2658525.3493744554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2186118.4733559573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152</v>
      </c>
      <c r="B366" t="s">
        <v>34</v>
      </c>
      <c r="C366" t="s">
        <v>78</v>
      </c>
      <c r="D366">
        <v>1</v>
      </c>
      <c r="E366">
        <v>2030</v>
      </c>
      <c r="F366" t="s">
        <v>27</v>
      </c>
      <c r="G366">
        <v>209595.14629167612</v>
      </c>
      <c r="H366">
        <v>120246.40306115421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89348.743230521912</v>
      </c>
      <c r="P366">
        <v>89348.743230521912</v>
      </c>
      <c r="Q366">
        <v>0</v>
      </c>
      <c r="R366">
        <v>8.0190497049393419E-2</v>
      </c>
      <c r="S366">
        <v>8.0190497049393419E-2</v>
      </c>
      <c r="T366">
        <v>0</v>
      </c>
      <c r="U366">
        <v>8.0190497049393419E-2</v>
      </c>
      <c r="V366">
        <v>13402.311484578286</v>
      </c>
      <c r="W366">
        <v>13402.311484578286</v>
      </c>
      <c r="X366">
        <v>0</v>
      </c>
      <c r="Y366">
        <v>13402.311484578286</v>
      </c>
      <c r="Z366">
        <v>0</v>
      </c>
    </row>
    <row r="367" spans="1:26" x14ac:dyDescent="0.25">
      <c r="A367" t="s">
        <v>152</v>
      </c>
      <c r="B367" t="s">
        <v>32</v>
      </c>
      <c r="C367" t="s">
        <v>85</v>
      </c>
      <c r="D367">
        <v>0</v>
      </c>
      <c r="E367">
        <v>2030</v>
      </c>
      <c r="F367" t="s">
        <v>27</v>
      </c>
      <c r="G367">
        <v>90242.917760262135</v>
      </c>
      <c r="H367">
        <v>0</v>
      </c>
      <c r="I367">
        <v>0</v>
      </c>
      <c r="J367">
        <v>48022.602431121806</v>
      </c>
      <c r="K367">
        <v>0</v>
      </c>
      <c r="L367">
        <v>0</v>
      </c>
      <c r="M367">
        <v>0</v>
      </c>
      <c r="N367">
        <v>0</v>
      </c>
      <c r="O367">
        <v>42220.315329140329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5">
      <c r="A368" t="s">
        <v>152</v>
      </c>
      <c r="B368" t="s">
        <v>79</v>
      </c>
      <c r="C368" t="s">
        <v>85</v>
      </c>
      <c r="D368">
        <v>0</v>
      </c>
      <c r="E368">
        <v>2030</v>
      </c>
      <c r="F368" t="s">
        <v>27</v>
      </c>
      <c r="G368">
        <v>1353198.590561714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1353198.590561714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152</v>
      </c>
      <c r="B369" t="s">
        <v>64</v>
      </c>
      <c r="C369" t="s">
        <v>80</v>
      </c>
      <c r="D369">
        <v>1</v>
      </c>
      <c r="E369">
        <v>2030</v>
      </c>
      <c r="F369" t="s">
        <v>27</v>
      </c>
      <c r="G369">
        <v>128773.56913504434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128773.56913504434</v>
      </c>
      <c r="N369">
        <v>0</v>
      </c>
      <c r="O369">
        <v>0</v>
      </c>
      <c r="P369">
        <v>0</v>
      </c>
      <c r="Q369">
        <v>128773.56913504434</v>
      </c>
      <c r="R369">
        <v>0</v>
      </c>
      <c r="S369">
        <v>2.3694336720848153</v>
      </c>
      <c r="T369">
        <v>0</v>
      </c>
      <c r="U369">
        <v>2.3694336720848153</v>
      </c>
      <c r="V369">
        <v>0</v>
      </c>
      <c r="W369">
        <v>53441.031191043403</v>
      </c>
      <c r="X369">
        <v>0</v>
      </c>
      <c r="Y369">
        <v>53441.031191043403</v>
      </c>
      <c r="Z369">
        <v>0</v>
      </c>
    </row>
    <row r="370" spans="1:26" x14ac:dyDescent="0.25">
      <c r="A370" t="s">
        <v>152</v>
      </c>
      <c r="B370" t="s">
        <v>137</v>
      </c>
      <c r="C370" t="s">
        <v>139</v>
      </c>
      <c r="D370">
        <v>1</v>
      </c>
      <c r="E370">
        <v>2030</v>
      </c>
      <c r="F370" t="s">
        <v>27</v>
      </c>
      <c r="G370">
        <v>203285.40580671438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203285.40580671438</v>
      </c>
      <c r="N370">
        <v>0</v>
      </c>
      <c r="O370">
        <v>0</v>
      </c>
      <c r="P370">
        <v>0</v>
      </c>
      <c r="Q370">
        <v>203285.40580671438</v>
      </c>
      <c r="R370">
        <v>0</v>
      </c>
      <c r="S370">
        <v>1.8217276437507413</v>
      </c>
      <c r="T370">
        <v>0</v>
      </c>
      <c r="U370">
        <v>1.8217276437507413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152</v>
      </c>
      <c r="B371" t="s">
        <v>138</v>
      </c>
      <c r="C371" t="s">
        <v>139</v>
      </c>
      <c r="D371">
        <v>1</v>
      </c>
      <c r="E371">
        <v>2030</v>
      </c>
      <c r="F371" t="s">
        <v>27</v>
      </c>
      <c r="G371">
        <v>50821.351451678594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50821.351451678594</v>
      </c>
      <c r="N371">
        <v>0</v>
      </c>
      <c r="O371">
        <v>0</v>
      </c>
      <c r="P371">
        <v>0</v>
      </c>
      <c r="Q371">
        <v>50821.351451678594</v>
      </c>
      <c r="R371">
        <v>0</v>
      </c>
      <c r="S371">
        <v>1.6907537608667011</v>
      </c>
      <c r="T371">
        <v>0</v>
      </c>
      <c r="U371">
        <v>1.6907537608667011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152</v>
      </c>
      <c r="B372" t="s">
        <v>81</v>
      </c>
      <c r="C372" t="s">
        <v>85</v>
      </c>
      <c r="D372">
        <v>0</v>
      </c>
      <c r="E372">
        <v>2030</v>
      </c>
      <c r="F372" t="s">
        <v>27</v>
      </c>
      <c r="G372">
        <v>4139866.8050626861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4139866.8050626861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152</v>
      </c>
      <c r="B373" t="s">
        <v>71</v>
      </c>
      <c r="C373" t="s">
        <v>85</v>
      </c>
      <c r="D373">
        <v>0</v>
      </c>
      <c r="E373">
        <v>2030</v>
      </c>
      <c r="F373" t="s">
        <v>27</v>
      </c>
      <c r="G373">
        <v>459516.59131699731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459516.59131699731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152</v>
      </c>
      <c r="B374" t="s">
        <v>57</v>
      </c>
      <c r="C374" t="s">
        <v>85</v>
      </c>
      <c r="D374">
        <v>0</v>
      </c>
      <c r="E374">
        <v>2030</v>
      </c>
      <c r="F374" t="s">
        <v>27</v>
      </c>
      <c r="G374">
        <v>229758.29565849865</v>
      </c>
      <c r="H374">
        <v>224187.19428812375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5571.1013703749049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152</v>
      </c>
      <c r="B375" t="s">
        <v>63</v>
      </c>
      <c r="C375" t="s">
        <v>63</v>
      </c>
      <c r="D375">
        <v>1</v>
      </c>
      <c r="E375">
        <v>2030</v>
      </c>
      <c r="F375" t="s">
        <v>27</v>
      </c>
      <c r="G375">
        <v>147045.30922143915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147045.30922143915</v>
      </c>
      <c r="N375">
        <v>0</v>
      </c>
      <c r="O375">
        <v>0</v>
      </c>
      <c r="P375">
        <v>0</v>
      </c>
      <c r="Q375">
        <v>147045.30922143915</v>
      </c>
      <c r="R375">
        <v>0</v>
      </c>
      <c r="S375">
        <v>5.14658582275037</v>
      </c>
      <c r="T375">
        <v>0</v>
      </c>
      <c r="U375">
        <v>5.14658582275037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152</v>
      </c>
      <c r="B376" t="s">
        <v>54</v>
      </c>
      <c r="C376" t="s">
        <v>75</v>
      </c>
      <c r="D376">
        <v>1</v>
      </c>
      <c r="E376">
        <v>2030</v>
      </c>
      <c r="F376" t="s">
        <v>27</v>
      </c>
      <c r="G376">
        <v>1721260.5208601372</v>
      </c>
      <c r="H376">
        <v>1558650.6941574311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162609.82670270605</v>
      </c>
      <c r="P376">
        <v>162609.82670270605</v>
      </c>
      <c r="Q376">
        <v>0</v>
      </c>
      <c r="R376">
        <v>0.4413295740642123</v>
      </c>
      <c r="S376">
        <v>0.4413295740642123</v>
      </c>
      <c r="T376">
        <v>0</v>
      </c>
      <c r="U376">
        <v>0.4413295740642123</v>
      </c>
      <c r="V376">
        <v>32521.96534054121</v>
      </c>
      <c r="W376">
        <v>32521.96534054121</v>
      </c>
      <c r="X376">
        <v>0</v>
      </c>
      <c r="Y376">
        <v>32521.96534054121</v>
      </c>
      <c r="Z376">
        <v>0</v>
      </c>
    </row>
    <row r="377" spans="1:26" x14ac:dyDescent="0.25">
      <c r="A377" t="s">
        <v>152</v>
      </c>
      <c r="B377" t="s">
        <v>82</v>
      </c>
      <c r="C377" t="s">
        <v>85</v>
      </c>
      <c r="D377">
        <v>0</v>
      </c>
      <c r="E377">
        <v>2030</v>
      </c>
      <c r="F377" t="s">
        <v>27</v>
      </c>
      <c r="G377">
        <v>162454.61558289189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162454.61558289189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152</v>
      </c>
      <c r="B378" t="s">
        <v>61</v>
      </c>
      <c r="C378" t="s">
        <v>85</v>
      </c>
      <c r="D378">
        <v>0</v>
      </c>
      <c r="E378">
        <v>2030</v>
      </c>
      <c r="F378" t="s">
        <v>27</v>
      </c>
      <c r="G378">
        <v>110239.32855670982</v>
      </c>
      <c r="H378">
        <v>36992.166178085987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73247.162378623834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152</v>
      </c>
      <c r="B379" t="s">
        <v>46</v>
      </c>
      <c r="C379" t="s">
        <v>72</v>
      </c>
      <c r="D379">
        <v>1</v>
      </c>
      <c r="E379">
        <v>2030</v>
      </c>
      <c r="F379" t="s">
        <v>27</v>
      </c>
      <c r="G379">
        <v>3955646.8792470703</v>
      </c>
      <c r="H379">
        <v>0</v>
      </c>
      <c r="I379">
        <v>0</v>
      </c>
      <c r="J379">
        <v>0</v>
      </c>
      <c r="K379">
        <v>1977823.4396235351</v>
      </c>
      <c r="L379">
        <v>0</v>
      </c>
      <c r="M379">
        <v>0</v>
      </c>
      <c r="N379">
        <v>0</v>
      </c>
      <c r="O379">
        <v>1977823.4396235351</v>
      </c>
      <c r="P379">
        <v>1977823.4396235351</v>
      </c>
      <c r="Q379">
        <v>1977823.4396235351</v>
      </c>
      <c r="R379">
        <v>0.98695367460654038</v>
      </c>
      <c r="S379">
        <v>1.9739073492130808</v>
      </c>
      <c r="T379">
        <v>0.98695367460654038</v>
      </c>
      <c r="U379">
        <v>0.98695367460654038</v>
      </c>
      <c r="V379">
        <v>118669.4063774121</v>
      </c>
      <c r="W379">
        <v>237338.8127548242</v>
      </c>
      <c r="X379">
        <v>118669.4063774121</v>
      </c>
      <c r="Y379">
        <v>118669.4063774121</v>
      </c>
      <c r="Z379">
        <v>0</v>
      </c>
    </row>
    <row r="380" spans="1:26" x14ac:dyDescent="0.25">
      <c r="A380" t="s">
        <v>152</v>
      </c>
      <c r="B380" t="s">
        <v>43</v>
      </c>
      <c r="C380" t="s">
        <v>73</v>
      </c>
      <c r="D380">
        <v>1</v>
      </c>
      <c r="E380">
        <v>2030</v>
      </c>
      <c r="F380" t="s">
        <v>27</v>
      </c>
      <c r="G380">
        <v>12813608.199498909</v>
      </c>
      <c r="H380">
        <v>0</v>
      </c>
      <c r="I380">
        <v>0</v>
      </c>
      <c r="J380">
        <v>0</v>
      </c>
      <c r="K380">
        <v>6406804.0997494543</v>
      </c>
      <c r="L380">
        <v>6406804.0997494552</v>
      </c>
      <c r="M380">
        <v>0</v>
      </c>
      <c r="N380">
        <v>0</v>
      </c>
      <c r="O380">
        <v>0</v>
      </c>
      <c r="P380">
        <v>0</v>
      </c>
      <c r="Q380">
        <v>6406804.0997494543</v>
      </c>
      <c r="R380">
        <v>0</v>
      </c>
      <c r="S380">
        <v>2.7600512061720655</v>
      </c>
      <c r="T380">
        <v>2.7600512061720655</v>
      </c>
      <c r="U380">
        <v>0</v>
      </c>
      <c r="V380">
        <v>0</v>
      </c>
      <c r="W380">
        <v>320340.20498747274</v>
      </c>
      <c r="X380">
        <v>320340.20498747274</v>
      </c>
      <c r="Y380">
        <v>0</v>
      </c>
      <c r="Z380">
        <v>0</v>
      </c>
    </row>
    <row r="381" spans="1:26" x14ac:dyDescent="0.25">
      <c r="A381" t="s">
        <v>152</v>
      </c>
      <c r="B381" t="s">
        <v>31</v>
      </c>
      <c r="C381" t="s">
        <v>85</v>
      </c>
      <c r="D381">
        <v>0</v>
      </c>
      <c r="E381">
        <v>2030</v>
      </c>
      <c r="F381" t="s">
        <v>27</v>
      </c>
      <c r="G381">
        <v>1171311.0719145273</v>
      </c>
      <c r="H381">
        <v>0</v>
      </c>
      <c r="I381">
        <v>0</v>
      </c>
      <c r="J381">
        <v>97500.435238944279</v>
      </c>
      <c r="K381">
        <v>0</v>
      </c>
      <c r="L381">
        <v>0</v>
      </c>
      <c r="M381">
        <v>0</v>
      </c>
      <c r="N381">
        <v>0</v>
      </c>
      <c r="O381">
        <v>1073810.636675583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152</v>
      </c>
      <c r="B382" t="s">
        <v>35</v>
      </c>
      <c r="C382" t="s">
        <v>78</v>
      </c>
      <c r="D382">
        <v>1</v>
      </c>
      <c r="E382">
        <v>2030</v>
      </c>
      <c r="F382" t="s">
        <v>27</v>
      </c>
      <c r="G382">
        <v>84600</v>
      </c>
      <c r="H382">
        <v>83111.484468738956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1488.5155312610441</v>
      </c>
      <c r="P382">
        <v>1488.5155312610441</v>
      </c>
      <c r="Q382">
        <v>0</v>
      </c>
      <c r="R382">
        <v>1.3359426893067871E-3</v>
      </c>
      <c r="S382">
        <v>1.3359426893067871E-3</v>
      </c>
      <c r="T382">
        <v>0</v>
      </c>
      <c r="U382">
        <v>1.3359426893067871E-3</v>
      </c>
      <c r="V382">
        <v>223.2773296891566</v>
      </c>
      <c r="W382">
        <v>223.2773296891566</v>
      </c>
      <c r="X382">
        <v>0</v>
      </c>
      <c r="Y382">
        <v>223.2773296891566</v>
      </c>
      <c r="Z382">
        <v>0</v>
      </c>
    </row>
    <row r="383" spans="1:26" x14ac:dyDescent="0.25">
      <c r="A383" t="s">
        <v>152</v>
      </c>
      <c r="B383" t="s">
        <v>83</v>
      </c>
      <c r="C383" t="s">
        <v>85</v>
      </c>
      <c r="D383">
        <v>1</v>
      </c>
      <c r="E383">
        <v>2030</v>
      </c>
      <c r="F383" t="s">
        <v>27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152</v>
      </c>
      <c r="B384" t="s">
        <v>65</v>
      </c>
      <c r="C384" t="s">
        <v>80</v>
      </c>
      <c r="D384">
        <v>1</v>
      </c>
      <c r="E384">
        <v>2030</v>
      </c>
      <c r="F384" t="s">
        <v>27</v>
      </c>
      <c r="G384">
        <v>2240617.6889087446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2240617.6889087446</v>
      </c>
      <c r="N384">
        <v>0</v>
      </c>
      <c r="O384">
        <v>0</v>
      </c>
      <c r="P384">
        <v>0</v>
      </c>
      <c r="Q384">
        <v>2240617.6889087446</v>
      </c>
      <c r="R384">
        <v>0</v>
      </c>
      <c r="S384">
        <v>32.474546854494854</v>
      </c>
      <c r="T384">
        <v>0</v>
      </c>
      <c r="U384">
        <v>32.474546854494854</v>
      </c>
      <c r="V384">
        <v>0</v>
      </c>
      <c r="W384">
        <v>1108172.1653061165</v>
      </c>
      <c r="X384">
        <v>0</v>
      </c>
      <c r="Y384">
        <v>1108172.1653061165</v>
      </c>
      <c r="Z384">
        <v>0</v>
      </c>
    </row>
    <row r="385" spans="1:26" x14ac:dyDescent="0.25">
      <c r="A385" t="s">
        <v>152</v>
      </c>
      <c r="B385" t="s">
        <v>84</v>
      </c>
      <c r="C385" t="s">
        <v>85</v>
      </c>
      <c r="D385">
        <v>0</v>
      </c>
      <c r="E385">
        <v>2030</v>
      </c>
      <c r="F385" t="s">
        <v>27</v>
      </c>
      <c r="G385">
        <v>620213.6948885778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620213.6948885778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152</v>
      </c>
      <c r="B386" t="s">
        <v>39</v>
      </c>
      <c r="C386" t="s">
        <v>85</v>
      </c>
      <c r="D386">
        <v>0</v>
      </c>
      <c r="E386">
        <v>2050</v>
      </c>
      <c r="F386" t="s">
        <v>27</v>
      </c>
      <c r="G386">
        <v>208223.23899291924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174373.27010647443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152</v>
      </c>
      <c r="B387" t="s">
        <v>33</v>
      </c>
      <c r="C387" t="s">
        <v>85</v>
      </c>
      <c r="D387">
        <v>0</v>
      </c>
      <c r="E387">
        <v>2050</v>
      </c>
      <c r="F387" t="s">
        <v>27</v>
      </c>
      <c r="G387">
        <v>631570.32240748627</v>
      </c>
      <c r="H387">
        <v>45724.00111692449</v>
      </c>
      <c r="I387">
        <v>0</v>
      </c>
      <c r="J387">
        <v>90266.583697186172</v>
      </c>
      <c r="K387">
        <v>0</v>
      </c>
      <c r="L387">
        <v>0</v>
      </c>
      <c r="M387">
        <v>0</v>
      </c>
      <c r="N387">
        <v>0</v>
      </c>
      <c r="O387">
        <v>495579.73759337561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152</v>
      </c>
      <c r="B388" t="s">
        <v>47</v>
      </c>
      <c r="C388" t="s">
        <v>72</v>
      </c>
      <c r="D388">
        <v>1</v>
      </c>
      <c r="E388">
        <v>2050</v>
      </c>
      <c r="F388" t="s">
        <v>27</v>
      </c>
      <c r="G388">
        <v>197484.13479984918</v>
      </c>
      <c r="H388">
        <v>0</v>
      </c>
      <c r="I388">
        <v>0</v>
      </c>
      <c r="J388">
        <v>0</v>
      </c>
      <c r="K388">
        <v>160218.91589496989</v>
      </c>
      <c r="L388">
        <v>0</v>
      </c>
      <c r="M388">
        <v>37265.218904879293</v>
      </c>
      <c r="N388">
        <v>0</v>
      </c>
      <c r="O388">
        <v>0</v>
      </c>
      <c r="P388">
        <v>0</v>
      </c>
      <c r="Q388">
        <v>197484.13479984918</v>
      </c>
      <c r="R388">
        <v>0</v>
      </c>
      <c r="S388">
        <v>1.2111183323928199</v>
      </c>
      <c r="T388">
        <v>0.54585142675173193</v>
      </c>
      <c r="U388">
        <v>0.66526690564108792</v>
      </c>
      <c r="V388">
        <v>0</v>
      </c>
      <c r="W388">
        <v>55295.557743957776</v>
      </c>
      <c r="X388">
        <v>44861.296450591573</v>
      </c>
      <c r="Y388">
        <v>10434.261293366202</v>
      </c>
      <c r="Z388">
        <v>0</v>
      </c>
    </row>
    <row r="389" spans="1:26" x14ac:dyDescent="0.25">
      <c r="A389" t="s">
        <v>152</v>
      </c>
      <c r="B389" t="s">
        <v>11</v>
      </c>
      <c r="C389" t="s">
        <v>85</v>
      </c>
      <c r="D389">
        <v>1</v>
      </c>
      <c r="E389">
        <v>2050</v>
      </c>
      <c r="F389" t="s">
        <v>27</v>
      </c>
      <c r="G389">
        <v>466803685.99600041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466803685.99600041</v>
      </c>
      <c r="N389">
        <v>0</v>
      </c>
      <c r="O389">
        <v>0</v>
      </c>
      <c r="P389">
        <v>0</v>
      </c>
      <c r="Q389">
        <v>466803685.99600041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152</v>
      </c>
      <c r="B390" t="s">
        <v>67</v>
      </c>
      <c r="C390" t="s">
        <v>85</v>
      </c>
      <c r="D390">
        <v>0</v>
      </c>
      <c r="E390">
        <v>2050</v>
      </c>
      <c r="F390" t="s">
        <v>27</v>
      </c>
      <c r="G390">
        <v>18991531.011601392</v>
      </c>
      <c r="H390">
        <v>0</v>
      </c>
      <c r="I390">
        <v>0</v>
      </c>
      <c r="J390">
        <v>0</v>
      </c>
      <c r="K390">
        <v>0</v>
      </c>
      <c r="L390">
        <v>13974569.559899479</v>
      </c>
      <c r="M390">
        <v>0</v>
      </c>
      <c r="N390">
        <v>0</v>
      </c>
      <c r="O390">
        <v>5016961.451701913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152</v>
      </c>
      <c r="B391" t="s">
        <v>50</v>
      </c>
      <c r="C391" t="s">
        <v>72</v>
      </c>
      <c r="D391">
        <v>1</v>
      </c>
      <c r="E391">
        <v>2050</v>
      </c>
      <c r="F391" t="s">
        <v>27</v>
      </c>
      <c r="G391">
        <v>1295843.5623004357</v>
      </c>
      <c r="H391">
        <v>0</v>
      </c>
      <c r="I391">
        <v>0</v>
      </c>
      <c r="J391">
        <v>0</v>
      </c>
      <c r="K391">
        <v>971882.6717253268</v>
      </c>
      <c r="L391">
        <v>0</v>
      </c>
      <c r="M391">
        <v>0</v>
      </c>
      <c r="N391">
        <v>0</v>
      </c>
      <c r="O391">
        <v>323960.89057510893</v>
      </c>
      <c r="P391">
        <v>323960.89057510893</v>
      </c>
      <c r="Q391">
        <v>971882.6717253268</v>
      </c>
      <c r="R391">
        <v>0.18401823375510495</v>
      </c>
      <c r="S391">
        <v>0.73607293502041982</v>
      </c>
      <c r="T391">
        <v>0.55205470126531486</v>
      </c>
      <c r="U391">
        <v>0.18401823375510495</v>
      </c>
      <c r="V391">
        <v>13853.665117451248</v>
      </c>
      <c r="W391">
        <v>55414.660469804992</v>
      </c>
      <c r="X391">
        <v>41560.995352353741</v>
      </c>
      <c r="Y391">
        <v>13853.665117451252</v>
      </c>
      <c r="Z391">
        <v>0</v>
      </c>
    </row>
    <row r="392" spans="1:26" x14ac:dyDescent="0.25">
      <c r="A392" t="s">
        <v>152</v>
      </c>
      <c r="B392" t="s">
        <v>49</v>
      </c>
      <c r="C392" t="s">
        <v>73</v>
      </c>
      <c r="D392">
        <v>1</v>
      </c>
      <c r="E392">
        <v>2050</v>
      </c>
      <c r="F392" t="s">
        <v>27</v>
      </c>
      <c r="G392">
        <v>1986073.4791876497</v>
      </c>
      <c r="H392">
        <v>0</v>
      </c>
      <c r="I392">
        <v>0</v>
      </c>
      <c r="J392">
        <v>0</v>
      </c>
      <c r="K392">
        <v>1489555.1093907373</v>
      </c>
      <c r="L392">
        <v>187967.66856597396</v>
      </c>
      <c r="M392">
        <v>0</v>
      </c>
      <c r="N392">
        <v>0</v>
      </c>
      <c r="O392">
        <v>308550.70123093855</v>
      </c>
      <c r="P392">
        <v>308550.70123093855</v>
      </c>
      <c r="Q392">
        <v>1489555.1093907373</v>
      </c>
      <c r="R392">
        <v>0.66461821045144165</v>
      </c>
      <c r="S392">
        <v>3.8731199160790895</v>
      </c>
      <c r="T392">
        <v>3.2085017056276479</v>
      </c>
      <c r="U392">
        <v>0.66461821045144154</v>
      </c>
      <c r="V392">
        <v>92565.210369281558</v>
      </c>
      <c r="W392">
        <v>539431.74318650272</v>
      </c>
      <c r="X392">
        <v>446866.53281722119</v>
      </c>
      <c r="Y392">
        <v>92565.210369281529</v>
      </c>
      <c r="Z392">
        <v>0</v>
      </c>
    </row>
    <row r="393" spans="1:26" x14ac:dyDescent="0.25">
      <c r="A393" t="s">
        <v>152</v>
      </c>
      <c r="B393" t="s">
        <v>59</v>
      </c>
      <c r="C393" t="s">
        <v>85</v>
      </c>
      <c r="D393">
        <v>0</v>
      </c>
      <c r="E393">
        <v>2050</v>
      </c>
      <c r="F393" t="s">
        <v>27</v>
      </c>
      <c r="G393">
        <v>912712.05479678826</v>
      </c>
      <c r="H393">
        <v>909295.30878800887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3416.7460087793879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152</v>
      </c>
      <c r="B394" t="s">
        <v>45</v>
      </c>
      <c r="C394" t="s">
        <v>73</v>
      </c>
      <c r="D394">
        <v>1</v>
      </c>
      <c r="E394">
        <v>2050</v>
      </c>
      <c r="F394" t="s">
        <v>27</v>
      </c>
      <c r="G394">
        <v>8615.5317224824212</v>
      </c>
      <c r="H394">
        <v>0</v>
      </c>
      <c r="I394">
        <v>0</v>
      </c>
      <c r="J394">
        <v>0</v>
      </c>
      <c r="K394">
        <v>6461.6487918618159</v>
      </c>
      <c r="L394">
        <v>2153.8829306206053</v>
      </c>
      <c r="M394">
        <v>0</v>
      </c>
      <c r="N394">
        <v>0</v>
      </c>
      <c r="O394">
        <v>0</v>
      </c>
      <c r="P394">
        <v>0</v>
      </c>
      <c r="Q394">
        <v>6461.6487918618159</v>
      </c>
      <c r="R394">
        <v>0</v>
      </c>
      <c r="S394">
        <v>3.0388488103246934E-3</v>
      </c>
      <c r="T394">
        <v>3.0388488103246934E-3</v>
      </c>
      <c r="U394">
        <v>0</v>
      </c>
      <c r="V394">
        <v>0</v>
      </c>
      <c r="W394">
        <v>407.08387388729443</v>
      </c>
      <c r="X394">
        <v>407.08387388729443</v>
      </c>
      <c r="Y394">
        <v>0</v>
      </c>
      <c r="Z394">
        <v>0</v>
      </c>
    </row>
    <row r="395" spans="1:26" x14ac:dyDescent="0.25">
      <c r="A395" t="s">
        <v>152</v>
      </c>
      <c r="B395" t="s">
        <v>38</v>
      </c>
      <c r="C395" t="s">
        <v>85</v>
      </c>
      <c r="D395">
        <v>0</v>
      </c>
      <c r="E395">
        <v>2050</v>
      </c>
      <c r="F395" t="s">
        <v>27</v>
      </c>
      <c r="G395">
        <v>173658.75124992887</v>
      </c>
      <c r="H395">
        <v>0</v>
      </c>
      <c r="I395">
        <v>0</v>
      </c>
      <c r="J395">
        <v>22002.479776189128</v>
      </c>
      <c r="K395">
        <v>0</v>
      </c>
      <c r="L395">
        <v>0</v>
      </c>
      <c r="M395">
        <v>0</v>
      </c>
      <c r="N395">
        <v>0</v>
      </c>
      <c r="O395">
        <v>151656.27147373973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152</v>
      </c>
      <c r="B396" t="s">
        <v>74</v>
      </c>
      <c r="C396" t="s">
        <v>85</v>
      </c>
      <c r="D396">
        <v>0</v>
      </c>
      <c r="E396">
        <v>2050</v>
      </c>
      <c r="F396" t="s">
        <v>27</v>
      </c>
      <c r="G396">
        <v>774110.75178227411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774110.75178227411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152</v>
      </c>
      <c r="B397" t="s">
        <v>40</v>
      </c>
      <c r="C397" t="s">
        <v>85</v>
      </c>
      <c r="D397">
        <v>0</v>
      </c>
      <c r="E397">
        <v>2050</v>
      </c>
      <c r="F397" t="s">
        <v>27</v>
      </c>
      <c r="G397">
        <v>23116.349270541476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-244862.57108047997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152</v>
      </c>
      <c r="B398" t="s">
        <v>56</v>
      </c>
      <c r="C398" t="s">
        <v>56</v>
      </c>
      <c r="D398">
        <v>1</v>
      </c>
      <c r="E398">
        <v>2050</v>
      </c>
      <c r="F398" t="s">
        <v>27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152</v>
      </c>
      <c r="B399" t="s">
        <v>52</v>
      </c>
      <c r="C399" t="s">
        <v>75</v>
      </c>
      <c r="D399">
        <v>1</v>
      </c>
      <c r="E399">
        <v>2050</v>
      </c>
      <c r="F399" t="s">
        <v>27</v>
      </c>
      <c r="G399">
        <v>9694943.3861039449</v>
      </c>
      <c r="H399">
        <v>8458034.0365568101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2651872.9008556642</v>
      </c>
      <c r="O399">
        <v>-1414963.5513085295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</row>
    <row r="400" spans="1:26" x14ac:dyDescent="0.25">
      <c r="A400" t="s">
        <v>152</v>
      </c>
      <c r="B400" t="s">
        <v>60</v>
      </c>
      <c r="C400" t="s">
        <v>85</v>
      </c>
      <c r="D400">
        <v>0</v>
      </c>
      <c r="E400">
        <v>2050</v>
      </c>
      <c r="F400" t="s">
        <v>27</v>
      </c>
      <c r="G400">
        <v>443317.28375843994</v>
      </c>
      <c r="H400">
        <v>443317.28375843994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152</v>
      </c>
      <c r="B401" t="s">
        <v>29</v>
      </c>
      <c r="C401" t="s">
        <v>85</v>
      </c>
      <c r="D401">
        <v>0</v>
      </c>
      <c r="E401">
        <v>2050</v>
      </c>
      <c r="F401" t="s">
        <v>27</v>
      </c>
      <c r="G401">
        <v>1206663.2745499725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925990.61586653418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</row>
    <row r="402" spans="1:26" x14ac:dyDescent="0.25">
      <c r="A402" t="s">
        <v>152</v>
      </c>
      <c r="B402" t="s">
        <v>51</v>
      </c>
      <c r="C402" t="s">
        <v>76</v>
      </c>
      <c r="D402">
        <v>1</v>
      </c>
      <c r="E402">
        <v>2050</v>
      </c>
      <c r="F402" t="s">
        <v>27</v>
      </c>
      <c r="G402">
        <v>2061578.0877824824</v>
      </c>
      <c r="H402">
        <v>493481.5870918</v>
      </c>
      <c r="I402">
        <v>510108.16462498211</v>
      </c>
      <c r="J402">
        <v>0</v>
      </c>
      <c r="K402">
        <v>176054.43659327109</v>
      </c>
      <c r="L402">
        <v>0</v>
      </c>
      <c r="M402">
        <v>177716.15309934458</v>
      </c>
      <c r="N402">
        <v>704217.74637308426</v>
      </c>
      <c r="O402">
        <v>0</v>
      </c>
      <c r="P402">
        <v>0</v>
      </c>
      <c r="Q402">
        <v>353770.58969261567</v>
      </c>
      <c r="R402">
        <v>0</v>
      </c>
      <c r="S402">
        <v>2.8518886381267476</v>
      </c>
      <c r="T402">
        <v>1.0150488963559683</v>
      </c>
      <c r="U402">
        <v>1.8368397417707794</v>
      </c>
      <c r="V402">
        <v>0</v>
      </c>
      <c r="W402">
        <v>300705.00123872329</v>
      </c>
      <c r="X402">
        <v>149646.27110428043</v>
      </c>
      <c r="Y402">
        <v>151058.73013444286</v>
      </c>
      <c r="Z402">
        <v>0</v>
      </c>
    </row>
    <row r="403" spans="1:26" x14ac:dyDescent="0.25">
      <c r="A403" t="s">
        <v>152</v>
      </c>
      <c r="B403" t="s">
        <v>55</v>
      </c>
      <c r="C403" t="s">
        <v>72</v>
      </c>
      <c r="D403">
        <v>1</v>
      </c>
      <c r="E403">
        <v>2050</v>
      </c>
      <c r="F403" t="s">
        <v>27</v>
      </c>
      <c r="G403">
        <v>524881.97503939818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524881.97503939818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9.3703087657301456</v>
      </c>
      <c r="T403">
        <v>0</v>
      </c>
      <c r="U403">
        <v>9.3703087657301456</v>
      </c>
      <c r="V403">
        <v>0</v>
      </c>
      <c r="W403">
        <v>157464.59251181944</v>
      </c>
      <c r="X403">
        <v>0</v>
      </c>
      <c r="Y403">
        <v>157464.59251181944</v>
      </c>
      <c r="Z403">
        <v>0</v>
      </c>
    </row>
    <row r="404" spans="1:26" x14ac:dyDescent="0.25">
      <c r="A404" t="s">
        <v>152</v>
      </c>
      <c r="B404" t="s">
        <v>62</v>
      </c>
      <c r="C404" t="s">
        <v>85</v>
      </c>
      <c r="D404">
        <v>0</v>
      </c>
      <c r="E404">
        <v>2050</v>
      </c>
      <c r="F404" t="s">
        <v>27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 x14ac:dyDescent="0.25">
      <c r="A405" t="s">
        <v>152</v>
      </c>
      <c r="B405" t="s">
        <v>48</v>
      </c>
      <c r="C405" t="s">
        <v>72</v>
      </c>
      <c r="D405">
        <v>1</v>
      </c>
      <c r="E405">
        <v>2050</v>
      </c>
      <c r="F405" t="s">
        <v>27</v>
      </c>
      <c r="G405">
        <v>423858.34660336585</v>
      </c>
      <c r="H405">
        <v>0</v>
      </c>
      <c r="I405">
        <v>0</v>
      </c>
      <c r="J405">
        <v>0</v>
      </c>
      <c r="K405">
        <v>412791.92061072221</v>
      </c>
      <c r="L405">
        <v>0</v>
      </c>
      <c r="M405">
        <v>0</v>
      </c>
      <c r="N405">
        <v>0</v>
      </c>
      <c r="O405">
        <v>11066.425992643635</v>
      </c>
      <c r="P405">
        <v>11066.425992643635</v>
      </c>
      <c r="Q405">
        <v>412791.92061072221</v>
      </c>
      <c r="R405">
        <v>4.7952262461503921E-2</v>
      </c>
      <c r="S405">
        <v>1.5683311591740519</v>
      </c>
      <c r="T405">
        <v>1.520378896712548</v>
      </c>
      <c r="U405">
        <v>4.7952262461503858E-2</v>
      </c>
      <c r="V405">
        <v>4647.898916910327</v>
      </c>
      <c r="W405">
        <v>178020.50557341365</v>
      </c>
      <c r="X405">
        <v>173372.60665650331</v>
      </c>
      <c r="Y405">
        <v>4647.8989169103443</v>
      </c>
      <c r="Z405">
        <v>0</v>
      </c>
    </row>
    <row r="406" spans="1:26" x14ac:dyDescent="0.25">
      <c r="A406" t="s">
        <v>152</v>
      </c>
      <c r="B406" t="s">
        <v>77</v>
      </c>
      <c r="C406" t="s">
        <v>85</v>
      </c>
      <c r="D406">
        <v>0</v>
      </c>
      <c r="E406">
        <v>2050</v>
      </c>
      <c r="F406" t="s">
        <v>27</v>
      </c>
      <c r="G406">
        <v>508757.64119761443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508757.64119761443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152</v>
      </c>
      <c r="B407" t="s">
        <v>30</v>
      </c>
      <c r="C407" t="s">
        <v>85</v>
      </c>
      <c r="D407">
        <v>0</v>
      </c>
      <c r="E407">
        <v>2050</v>
      </c>
      <c r="F407" t="s">
        <v>27</v>
      </c>
      <c r="G407">
        <v>1247257.9587169746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1118910.1600225379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152</v>
      </c>
      <c r="B408" t="s">
        <v>28</v>
      </c>
      <c r="C408" t="s">
        <v>76</v>
      </c>
      <c r="D408">
        <v>1</v>
      </c>
      <c r="E408">
        <v>2050</v>
      </c>
      <c r="F408" t="s">
        <v>27</v>
      </c>
      <c r="G408">
        <v>3927518.683798451</v>
      </c>
      <c r="H408">
        <v>4168434.2736686366</v>
      </c>
      <c r="I408">
        <v>0</v>
      </c>
      <c r="J408">
        <v>307470.55071854044</v>
      </c>
      <c r="K408">
        <v>0</v>
      </c>
      <c r="L408">
        <v>0</v>
      </c>
      <c r="M408">
        <v>0</v>
      </c>
      <c r="N408">
        <v>0</v>
      </c>
      <c r="O408">
        <v>-548386.14058872592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</row>
    <row r="409" spans="1:26" x14ac:dyDescent="0.25">
      <c r="A409" t="s">
        <v>152</v>
      </c>
      <c r="B409" t="s">
        <v>68</v>
      </c>
      <c r="C409" t="s">
        <v>85</v>
      </c>
      <c r="D409">
        <v>0</v>
      </c>
      <c r="E409">
        <v>2050</v>
      </c>
      <c r="F409" t="s">
        <v>27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1024074.0482575882</v>
      </c>
      <c r="M409">
        <v>0</v>
      </c>
      <c r="N409">
        <v>0</v>
      </c>
      <c r="O409">
        <v>-1024074.0482575882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152</v>
      </c>
      <c r="B410" t="s">
        <v>44</v>
      </c>
      <c r="C410" t="s">
        <v>73</v>
      </c>
      <c r="D410">
        <v>1</v>
      </c>
      <c r="E410">
        <v>2050</v>
      </c>
      <c r="F410" t="s">
        <v>27</v>
      </c>
      <c r="G410">
        <v>8914784.5517848767</v>
      </c>
      <c r="H410">
        <v>0</v>
      </c>
      <c r="I410">
        <v>0</v>
      </c>
      <c r="J410">
        <v>0</v>
      </c>
      <c r="K410">
        <v>6686088.4138386576</v>
      </c>
      <c r="L410">
        <v>2228696.1379462192</v>
      </c>
      <c r="M410">
        <v>0</v>
      </c>
      <c r="N410">
        <v>0</v>
      </c>
      <c r="O410">
        <v>0</v>
      </c>
      <c r="P410">
        <v>0</v>
      </c>
      <c r="Q410">
        <v>6686088.4138386576</v>
      </c>
      <c r="R410">
        <v>0</v>
      </c>
      <c r="S410">
        <v>3.3844310942009903</v>
      </c>
      <c r="T410">
        <v>3.3844310942009903</v>
      </c>
      <c r="U410">
        <v>0</v>
      </c>
      <c r="V410">
        <v>0</v>
      </c>
      <c r="W410">
        <v>508142.71945173794</v>
      </c>
      <c r="X410">
        <v>508142.71945173794</v>
      </c>
      <c r="Y410">
        <v>0</v>
      </c>
      <c r="Z410">
        <v>0</v>
      </c>
    </row>
    <row r="411" spans="1:26" x14ac:dyDescent="0.25">
      <c r="A411" t="s">
        <v>152</v>
      </c>
      <c r="B411" t="s">
        <v>58</v>
      </c>
      <c r="C411" t="s">
        <v>85</v>
      </c>
      <c r="D411">
        <v>0</v>
      </c>
      <c r="E411">
        <v>2050</v>
      </c>
      <c r="F411" t="s">
        <v>27</v>
      </c>
      <c r="G411">
        <v>1113618.4290546447</v>
      </c>
      <c r="H411">
        <v>973456.97089571541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140161.45815892925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152</v>
      </c>
      <c r="B412" t="s">
        <v>53</v>
      </c>
      <c r="C412" t="s">
        <v>75</v>
      </c>
      <c r="D412">
        <v>1</v>
      </c>
      <c r="E412">
        <v>2050</v>
      </c>
      <c r="F412" t="s">
        <v>27</v>
      </c>
      <c r="G412">
        <v>3507353.271840062</v>
      </c>
      <c r="H412">
        <v>4070795.253083135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-563441.98124307301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</row>
    <row r="413" spans="1:26" x14ac:dyDescent="0.25">
      <c r="A413" t="s">
        <v>152</v>
      </c>
      <c r="B413" t="s">
        <v>37</v>
      </c>
      <c r="C413" t="s">
        <v>85</v>
      </c>
      <c r="D413">
        <v>0</v>
      </c>
      <c r="E413">
        <v>2050</v>
      </c>
      <c r="F413" t="s">
        <v>27</v>
      </c>
      <c r="G413">
        <v>2148705.6119789877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1657881.0631255377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152</v>
      </c>
      <c r="B414" t="s">
        <v>34</v>
      </c>
      <c r="C414" t="s">
        <v>78</v>
      </c>
      <c r="D414">
        <v>1</v>
      </c>
      <c r="E414">
        <v>2050</v>
      </c>
      <c r="F414" t="s">
        <v>27</v>
      </c>
      <c r="G414">
        <v>209595.14629167612</v>
      </c>
      <c r="H414">
        <v>166274.21308452127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43320.933207154856</v>
      </c>
      <c r="P414">
        <v>43320.933207154856</v>
      </c>
      <c r="Q414">
        <v>0</v>
      </c>
      <c r="R414">
        <v>3.8880537553421489E-2</v>
      </c>
      <c r="S414">
        <v>3.8880537553421489E-2</v>
      </c>
      <c r="T414">
        <v>0</v>
      </c>
      <c r="U414">
        <v>3.8880537553421489E-2</v>
      </c>
      <c r="V414">
        <v>6498.1399810732282</v>
      </c>
      <c r="W414">
        <v>6498.1399810732282</v>
      </c>
      <c r="X414">
        <v>0</v>
      </c>
      <c r="Y414">
        <v>6498.1399810732282</v>
      </c>
      <c r="Z414">
        <v>0</v>
      </c>
    </row>
    <row r="415" spans="1:26" x14ac:dyDescent="0.25">
      <c r="A415" t="s">
        <v>152</v>
      </c>
      <c r="B415" t="s">
        <v>32</v>
      </c>
      <c r="C415" t="s">
        <v>85</v>
      </c>
      <c r="D415">
        <v>0</v>
      </c>
      <c r="E415">
        <v>2050</v>
      </c>
      <c r="F415" t="s">
        <v>27</v>
      </c>
      <c r="G415">
        <v>71951.681016377275</v>
      </c>
      <c r="H415">
        <v>0</v>
      </c>
      <c r="I415">
        <v>0</v>
      </c>
      <c r="J415">
        <v>37421.140603964748</v>
      </c>
      <c r="K415">
        <v>0</v>
      </c>
      <c r="L415">
        <v>0</v>
      </c>
      <c r="M415">
        <v>0</v>
      </c>
      <c r="N415">
        <v>0</v>
      </c>
      <c r="O415">
        <v>34530.540412412527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</row>
    <row r="416" spans="1:26" x14ac:dyDescent="0.25">
      <c r="A416" t="s">
        <v>152</v>
      </c>
      <c r="B416" t="s">
        <v>79</v>
      </c>
      <c r="C416" t="s">
        <v>85</v>
      </c>
      <c r="D416">
        <v>0</v>
      </c>
      <c r="E416">
        <v>2050</v>
      </c>
      <c r="F416" t="s">
        <v>27</v>
      </c>
      <c r="G416">
        <v>1117644.1242571408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1117644.1242571408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152</v>
      </c>
      <c r="B417" t="s">
        <v>64</v>
      </c>
      <c r="C417" t="s">
        <v>80</v>
      </c>
      <c r="D417">
        <v>1</v>
      </c>
      <c r="E417">
        <v>2050</v>
      </c>
      <c r="F417" t="s">
        <v>27</v>
      </c>
      <c r="G417">
        <v>95433.971639593205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95433.971639593205</v>
      </c>
      <c r="N417">
        <v>0</v>
      </c>
      <c r="O417">
        <v>0</v>
      </c>
      <c r="P417">
        <v>0</v>
      </c>
      <c r="Q417">
        <v>95433.971639593205</v>
      </c>
      <c r="R417">
        <v>0</v>
      </c>
      <c r="S417">
        <v>1.7559850781685147</v>
      </c>
      <c r="T417">
        <v>0</v>
      </c>
      <c r="U417">
        <v>1.7559850781685147</v>
      </c>
      <c r="V417">
        <v>0</v>
      </c>
      <c r="W417">
        <v>39605.098230431184</v>
      </c>
      <c r="X417">
        <v>0</v>
      </c>
      <c r="Y417">
        <v>39605.098230431184</v>
      </c>
      <c r="Z417">
        <v>0</v>
      </c>
    </row>
    <row r="418" spans="1:26" x14ac:dyDescent="0.25">
      <c r="A418" t="s">
        <v>152</v>
      </c>
      <c r="B418" t="s">
        <v>137</v>
      </c>
      <c r="C418" t="s">
        <v>139</v>
      </c>
      <c r="D418">
        <v>1</v>
      </c>
      <c r="E418">
        <v>2050</v>
      </c>
      <c r="F418" t="s">
        <v>27</v>
      </c>
      <c r="G418">
        <v>394361.9379689272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394361.9379689272</v>
      </c>
      <c r="N418">
        <v>0</v>
      </c>
      <c r="O418">
        <v>0</v>
      </c>
      <c r="P418">
        <v>0</v>
      </c>
      <c r="Q418">
        <v>394361.9379689272</v>
      </c>
      <c r="R418">
        <v>0</v>
      </c>
      <c r="S418">
        <v>3.5340463383986851</v>
      </c>
      <c r="T418">
        <v>0</v>
      </c>
      <c r="U418">
        <v>3.5340463383986851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152</v>
      </c>
      <c r="B419" t="s">
        <v>138</v>
      </c>
      <c r="C419" t="s">
        <v>139</v>
      </c>
      <c r="D419">
        <v>1</v>
      </c>
      <c r="E419">
        <v>2050</v>
      </c>
      <c r="F419" t="s">
        <v>27</v>
      </c>
      <c r="G419">
        <v>98590.484492231801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98590.484492231801</v>
      </c>
      <c r="N419">
        <v>0</v>
      </c>
      <c r="O419">
        <v>0</v>
      </c>
      <c r="P419">
        <v>0</v>
      </c>
      <c r="Q419">
        <v>98590.484492231801</v>
      </c>
      <c r="R419">
        <v>0</v>
      </c>
      <c r="S419">
        <v>3.2799645755072766</v>
      </c>
      <c r="T419">
        <v>0</v>
      </c>
      <c r="U419">
        <v>3.2799645755072766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152</v>
      </c>
      <c r="B420" t="s">
        <v>81</v>
      </c>
      <c r="C420" t="s">
        <v>85</v>
      </c>
      <c r="D420">
        <v>0</v>
      </c>
      <c r="E420">
        <v>2050</v>
      </c>
      <c r="F420" t="s">
        <v>27</v>
      </c>
      <c r="G420">
        <v>3345973.3754191101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3345973.3754191101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152</v>
      </c>
      <c r="B421" t="s">
        <v>71</v>
      </c>
      <c r="C421" t="s">
        <v>85</v>
      </c>
      <c r="D421">
        <v>0</v>
      </c>
      <c r="E421">
        <v>2050</v>
      </c>
      <c r="F421" t="s">
        <v>27</v>
      </c>
      <c r="G421">
        <v>384052.86058103014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384052.86058103014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152</v>
      </c>
      <c r="B422" t="s">
        <v>57</v>
      </c>
      <c r="C422" t="s">
        <v>85</v>
      </c>
      <c r="D422">
        <v>0</v>
      </c>
      <c r="E422">
        <v>2050</v>
      </c>
      <c r="F422" t="s">
        <v>27</v>
      </c>
      <c r="G422">
        <v>192026.43029051507</v>
      </c>
      <c r="H422">
        <v>186000.82014059028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6025.6101499247889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152</v>
      </c>
      <c r="B423" t="s">
        <v>63</v>
      </c>
      <c r="C423" t="s">
        <v>63</v>
      </c>
      <c r="D423">
        <v>1</v>
      </c>
      <c r="E423">
        <v>2050</v>
      </c>
      <c r="F423" t="s">
        <v>27</v>
      </c>
      <c r="G423">
        <v>122896.91538592965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122896.91538592965</v>
      </c>
      <c r="N423">
        <v>0</v>
      </c>
      <c r="O423">
        <v>0</v>
      </c>
      <c r="P423">
        <v>0</v>
      </c>
      <c r="Q423">
        <v>122896.91538592965</v>
      </c>
      <c r="R423">
        <v>0</v>
      </c>
      <c r="S423">
        <v>4.3013920385075375</v>
      </c>
      <c r="T423">
        <v>0</v>
      </c>
      <c r="U423">
        <v>4.3013920385075375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152</v>
      </c>
      <c r="B424" t="s">
        <v>54</v>
      </c>
      <c r="C424" t="s">
        <v>75</v>
      </c>
      <c r="D424">
        <v>1</v>
      </c>
      <c r="E424">
        <v>2050</v>
      </c>
      <c r="F424" t="s">
        <v>27</v>
      </c>
      <c r="G424">
        <v>4358909.8191870283</v>
      </c>
      <c r="H424">
        <v>5234226.1839023503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-875316.36471532192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</row>
    <row r="425" spans="1:26" x14ac:dyDescent="0.25">
      <c r="A425" t="s">
        <v>152</v>
      </c>
      <c r="B425" t="s">
        <v>82</v>
      </c>
      <c r="C425" t="s">
        <v>85</v>
      </c>
      <c r="D425">
        <v>0</v>
      </c>
      <c r="E425">
        <v>2050</v>
      </c>
      <c r="F425" t="s">
        <v>27</v>
      </c>
      <c r="G425">
        <v>129897.01320275277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129897.01320275277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152</v>
      </c>
      <c r="B426" t="s">
        <v>61</v>
      </c>
      <c r="C426" t="s">
        <v>85</v>
      </c>
      <c r="D426">
        <v>0</v>
      </c>
      <c r="E426">
        <v>2050</v>
      </c>
      <c r="F426" t="s">
        <v>27</v>
      </c>
      <c r="G426">
        <v>88270.173787223903</v>
      </c>
      <c r="H426">
        <v>34101.329519879997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54168.844267343906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152</v>
      </c>
      <c r="B427" t="s">
        <v>46</v>
      </c>
      <c r="C427" t="s">
        <v>72</v>
      </c>
      <c r="D427">
        <v>1</v>
      </c>
      <c r="E427">
        <v>2050</v>
      </c>
      <c r="F427" t="s">
        <v>27</v>
      </c>
      <c r="G427">
        <v>4085982.8830471574</v>
      </c>
      <c r="H427">
        <v>0</v>
      </c>
      <c r="I427">
        <v>0</v>
      </c>
      <c r="J427">
        <v>0</v>
      </c>
      <c r="K427">
        <v>3064487.162285368</v>
      </c>
      <c r="L427">
        <v>0</v>
      </c>
      <c r="M427">
        <v>0</v>
      </c>
      <c r="N427">
        <v>0</v>
      </c>
      <c r="O427">
        <v>1021495.7207617895</v>
      </c>
      <c r="P427">
        <v>1021495.7207617895</v>
      </c>
      <c r="Q427">
        <v>3064487.162285368</v>
      </c>
      <c r="R427">
        <v>0.50973657961734065</v>
      </c>
      <c r="S427">
        <v>2.0389463184693621</v>
      </c>
      <c r="T427">
        <v>1.5292097388520216</v>
      </c>
      <c r="U427">
        <v>0.50973657961734054</v>
      </c>
      <c r="V427">
        <v>61289.743245707366</v>
      </c>
      <c r="W427">
        <v>245158.97298282944</v>
      </c>
      <c r="X427">
        <v>183869.22973712208</v>
      </c>
      <c r="Y427">
        <v>61289.743245707359</v>
      </c>
      <c r="Z427">
        <v>0</v>
      </c>
    </row>
    <row r="428" spans="1:26" x14ac:dyDescent="0.25">
      <c r="A428" t="s">
        <v>152</v>
      </c>
      <c r="B428" t="s">
        <v>43</v>
      </c>
      <c r="C428" t="s">
        <v>73</v>
      </c>
      <c r="D428">
        <v>1</v>
      </c>
      <c r="E428">
        <v>2050</v>
      </c>
      <c r="F428" t="s">
        <v>27</v>
      </c>
      <c r="G428">
        <v>10102604.237305691</v>
      </c>
      <c r="H428">
        <v>0</v>
      </c>
      <c r="I428">
        <v>0</v>
      </c>
      <c r="J428">
        <v>0</v>
      </c>
      <c r="K428">
        <v>7576953.1779792681</v>
      </c>
      <c r="L428">
        <v>2525651.0593264229</v>
      </c>
      <c r="M428">
        <v>0</v>
      </c>
      <c r="N428">
        <v>0</v>
      </c>
      <c r="O428">
        <v>0</v>
      </c>
      <c r="P428">
        <v>0</v>
      </c>
      <c r="Q428">
        <v>7576953.1779792681</v>
      </c>
      <c r="R428">
        <v>0</v>
      </c>
      <c r="S428">
        <v>3.2641514290734692</v>
      </c>
      <c r="T428">
        <v>3.2641514290734692</v>
      </c>
      <c r="U428">
        <v>0</v>
      </c>
      <c r="V428">
        <v>0</v>
      </c>
      <c r="W428">
        <v>378847.65889896342</v>
      </c>
      <c r="X428">
        <v>378847.65889896342</v>
      </c>
      <c r="Y428">
        <v>0</v>
      </c>
      <c r="Z428">
        <v>0</v>
      </c>
    </row>
    <row r="429" spans="1:26" x14ac:dyDescent="0.25">
      <c r="A429" t="s">
        <v>152</v>
      </c>
      <c r="B429" t="s">
        <v>31</v>
      </c>
      <c r="C429" t="s">
        <v>85</v>
      </c>
      <c r="D429">
        <v>0</v>
      </c>
      <c r="E429">
        <v>2050</v>
      </c>
      <c r="F429" t="s">
        <v>27</v>
      </c>
      <c r="G429">
        <v>938105.61241848918</v>
      </c>
      <c r="H429">
        <v>0</v>
      </c>
      <c r="I429">
        <v>0</v>
      </c>
      <c r="J429">
        <v>75976.255165625393</v>
      </c>
      <c r="K429">
        <v>0</v>
      </c>
      <c r="L429">
        <v>0</v>
      </c>
      <c r="M429">
        <v>0</v>
      </c>
      <c r="N429">
        <v>0</v>
      </c>
      <c r="O429">
        <v>862129.35725286382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152</v>
      </c>
      <c r="B430" t="s">
        <v>35</v>
      </c>
      <c r="C430" t="s">
        <v>78</v>
      </c>
      <c r="D430">
        <v>1</v>
      </c>
      <c r="E430">
        <v>2050</v>
      </c>
      <c r="F430" t="s">
        <v>27</v>
      </c>
      <c r="G430">
        <v>84600</v>
      </c>
      <c r="H430">
        <v>68954.894249757344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15645.105750242656</v>
      </c>
      <c r="P430">
        <v>15645.105750242656</v>
      </c>
      <c r="Q430">
        <v>0</v>
      </c>
      <c r="R430">
        <v>1.4041482410842784E-2</v>
      </c>
      <c r="S430">
        <v>1.4041482410842784E-2</v>
      </c>
      <c r="T430">
        <v>0</v>
      </c>
      <c r="U430">
        <v>1.4041482410842784E-2</v>
      </c>
      <c r="V430">
        <v>2346.7658625363983</v>
      </c>
      <c r="W430">
        <v>2346.7658625363983</v>
      </c>
      <c r="X430">
        <v>0</v>
      </c>
      <c r="Y430">
        <v>2346.7658625363983</v>
      </c>
      <c r="Z430">
        <v>0</v>
      </c>
    </row>
    <row r="431" spans="1:26" x14ac:dyDescent="0.25">
      <c r="A431" t="s">
        <v>152</v>
      </c>
      <c r="B431" t="s">
        <v>83</v>
      </c>
      <c r="C431" t="s">
        <v>85</v>
      </c>
      <c r="D431">
        <v>1</v>
      </c>
      <c r="E431">
        <v>2050</v>
      </c>
      <c r="F431" t="s">
        <v>27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152</v>
      </c>
      <c r="B432" t="s">
        <v>65</v>
      </c>
      <c r="C432" t="s">
        <v>80</v>
      </c>
      <c r="D432">
        <v>1</v>
      </c>
      <c r="E432">
        <v>2050</v>
      </c>
      <c r="F432" t="s">
        <v>27</v>
      </c>
      <c r="G432">
        <v>2556953.1681252313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2556953.1681252313</v>
      </c>
      <c r="N432">
        <v>0</v>
      </c>
      <c r="O432">
        <v>0</v>
      </c>
      <c r="P432">
        <v>0</v>
      </c>
      <c r="Q432">
        <v>2556953.1681252313</v>
      </c>
      <c r="R432">
        <v>0</v>
      </c>
      <c r="S432">
        <v>37.05937691827878</v>
      </c>
      <c r="T432">
        <v>0</v>
      </c>
      <c r="U432">
        <v>37.05937691827878</v>
      </c>
      <c r="V432">
        <v>0</v>
      </c>
      <c r="W432">
        <v>1264626.4210686039</v>
      </c>
      <c r="X432">
        <v>0</v>
      </c>
      <c r="Y432">
        <v>1264626.4210686039</v>
      </c>
      <c r="Z432">
        <v>0</v>
      </c>
    </row>
    <row r="433" spans="1:26" x14ac:dyDescent="0.25">
      <c r="A433" t="s">
        <v>152</v>
      </c>
      <c r="B433" t="s">
        <v>84</v>
      </c>
      <c r="C433" t="s">
        <v>85</v>
      </c>
      <c r="D433">
        <v>0</v>
      </c>
      <c r="E433">
        <v>2050</v>
      </c>
      <c r="F433" t="s">
        <v>27</v>
      </c>
      <c r="G433">
        <v>784721.90493001346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784721.90493001346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152</v>
      </c>
      <c r="B434" t="s">
        <v>39</v>
      </c>
      <c r="D434">
        <v>0</v>
      </c>
      <c r="E434">
        <v>2019</v>
      </c>
      <c r="F434" t="s">
        <v>42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152</v>
      </c>
      <c r="B435" t="s">
        <v>33</v>
      </c>
      <c r="D435">
        <v>0</v>
      </c>
      <c r="E435">
        <v>2019</v>
      </c>
      <c r="F435" t="s">
        <v>42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152</v>
      </c>
      <c r="B436" t="s">
        <v>47</v>
      </c>
      <c r="C436" t="s">
        <v>72</v>
      </c>
      <c r="D436">
        <v>1</v>
      </c>
      <c r="E436">
        <v>2019</v>
      </c>
      <c r="F436" t="s">
        <v>42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152</v>
      </c>
      <c r="B437" t="s">
        <v>11</v>
      </c>
      <c r="D437">
        <v>1</v>
      </c>
      <c r="E437">
        <v>2019</v>
      </c>
      <c r="F437" t="s">
        <v>42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152</v>
      </c>
      <c r="B438" t="s">
        <v>67</v>
      </c>
      <c r="D438">
        <v>0</v>
      </c>
      <c r="E438">
        <v>2019</v>
      </c>
      <c r="F438" t="s">
        <v>42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152</v>
      </c>
      <c r="B439" t="s">
        <v>50</v>
      </c>
      <c r="C439" t="s">
        <v>72</v>
      </c>
      <c r="D439">
        <v>1</v>
      </c>
      <c r="E439">
        <v>2019</v>
      </c>
      <c r="F439" t="s">
        <v>42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152</v>
      </c>
      <c r="B440" t="s">
        <v>49</v>
      </c>
      <c r="C440" t="s">
        <v>73</v>
      </c>
      <c r="D440">
        <v>1</v>
      </c>
      <c r="E440">
        <v>2019</v>
      </c>
      <c r="F440" t="s">
        <v>42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152</v>
      </c>
      <c r="B441" t="s">
        <v>59</v>
      </c>
      <c r="D441">
        <v>0</v>
      </c>
      <c r="E441">
        <v>2019</v>
      </c>
      <c r="F441" t="s">
        <v>42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152</v>
      </c>
      <c r="B442" t="s">
        <v>45</v>
      </c>
      <c r="C442" t="s">
        <v>73</v>
      </c>
      <c r="D442">
        <v>1</v>
      </c>
      <c r="E442">
        <v>2019</v>
      </c>
      <c r="F442" t="s">
        <v>42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152</v>
      </c>
      <c r="B443" t="s">
        <v>38</v>
      </c>
      <c r="D443">
        <v>0</v>
      </c>
      <c r="E443">
        <v>2019</v>
      </c>
      <c r="F443" t="s">
        <v>42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152</v>
      </c>
      <c r="B444" t="s">
        <v>74</v>
      </c>
      <c r="D444">
        <v>0</v>
      </c>
      <c r="E444">
        <v>2019</v>
      </c>
      <c r="F444" t="s">
        <v>42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152</v>
      </c>
      <c r="B445" t="s">
        <v>40</v>
      </c>
      <c r="D445">
        <v>0</v>
      </c>
      <c r="E445">
        <v>2019</v>
      </c>
      <c r="F445" t="s">
        <v>42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152</v>
      </c>
      <c r="B446" t="s">
        <v>56</v>
      </c>
      <c r="C446" t="s">
        <v>56</v>
      </c>
      <c r="D446">
        <v>1</v>
      </c>
      <c r="E446">
        <v>2019</v>
      </c>
      <c r="F446" t="s">
        <v>42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152</v>
      </c>
      <c r="B447" t="s">
        <v>52</v>
      </c>
      <c r="C447" t="s">
        <v>75</v>
      </c>
      <c r="D447">
        <v>1</v>
      </c>
      <c r="E447">
        <v>2019</v>
      </c>
      <c r="F447" t="s">
        <v>42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152</v>
      </c>
      <c r="B448" t="s">
        <v>60</v>
      </c>
      <c r="D448">
        <v>0</v>
      </c>
      <c r="E448">
        <v>2019</v>
      </c>
      <c r="F448" t="s">
        <v>42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152</v>
      </c>
      <c r="B449" t="s">
        <v>29</v>
      </c>
      <c r="D449">
        <v>0</v>
      </c>
      <c r="E449">
        <v>2019</v>
      </c>
      <c r="F449" t="s">
        <v>42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152</v>
      </c>
      <c r="B450" t="s">
        <v>51</v>
      </c>
      <c r="C450" t="s">
        <v>76</v>
      </c>
      <c r="D450">
        <v>1</v>
      </c>
      <c r="E450">
        <v>2019</v>
      </c>
      <c r="F450" t="s">
        <v>42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152</v>
      </c>
      <c r="B451" t="s">
        <v>55</v>
      </c>
      <c r="C451" t="s">
        <v>72</v>
      </c>
      <c r="D451">
        <v>1</v>
      </c>
      <c r="E451">
        <v>2019</v>
      </c>
      <c r="F451" t="s">
        <v>42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152</v>
      </c>
      <c r="B452" t="s">
        <v>62</v>
      </c>
      <c r="D452">
        <v>0</v>
      </c>
      <c r="E452">
        <v>2019</v>
      </c>
      <c r="F452" t="s">
        <v>42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152</v>
      </c>
      <c r="B453" t="s">
        <v>48</v>
      </c>
      <c r="C453" t="s">
        <v>72</v>
      </c>
      <c r="D453">
        <v>1</v>
      </c>
      <c r="E453">
        <v>2019</v>
      </c>
      <c r="F453" t="s">
        <v>42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152</v>
      </c>
      <c r="B454" t="s">
        <v>77</v>
      </c>
      <c r="D454">
        <v>0</v>
      </c>
      <c r="E454">
        <v>2019</v>
      </c>
      <c r="F454" t="s">
        <v>42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152</v>
      </c>
      <c r="B455" t="s">
        <v>30</v>
      </c>
      <c r="D455">
        <v>0</v>
      </c>
      <c r="E455">
        <v>2019</v>
      </c>
      <c r="F455" t="s">
        <v>42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152</v>
      </c>
      <c r="B456" t="s">
        <v>28</v>
      </c>
      <c r="C456" t="s">
        <v>76</v>
      </c>
      <c r="D456">
        <v>1</v>
      </c>
      <c r="E456">
        <v>2019</v>
      </c>
      <c r="F456" t="s">
        <v>42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152</v>
      </c>
      <c r="B457" t="s">
        <v>68</v>
      </c>
      <c r="D457">
        <v>0</v>
      </c>
      <c r="E457">
        <v>2019</v>
      </c>
      <c r="F457" t="s">
        <v>42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377069.89971696056</v>
      </c>
      <c r="M457">
        <v>0</v>
      </c>
      <c r="N457">
        <v>0</v>
      </c>
      <c r="O457">
        <v>-377069.89971696056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152</v>
      </c>
      <c r="B458" t="s">
        <v>44</v>
      </c>
      <c r="C458" t="s">
        <v>73</v>
      </c>
      <c r="D458">
        <v>1</v>
      </c>
      <c r="E458">
        <v>2019</v>
      </c>
      <c r="F458" t="s">
        <v>42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152</v>
      </c>
      <c r="B459" t="s">
        <v>58</v>
      </c>
      <c r="D459">
        <v>0</v>
      </c>
      <c r="E459">
        <v>2019</v>
      </c>
      <c r="F459" t="s">
        <v>42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152</v>
      </c>
      <c r="B460" t="s">
        <v>53</v>
      </c>
      <c r="C460" t="s">
        <v>75</v>
      </c>
      <c r="D460">
        <v>1</v>
      </c>
      <c r="E460">
        <v>2019</v>
      </c>
      <c r="F460" t="s">
        <v>42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152</v>
      </c>
      <c r="B461" t="s">
        <v>37</v>
      </c>
      <c r="D461">
        <v>0</v>
      </c>
      <c r="E461">
        <v>2019</v>
      </c>
      <c r="F461" t="s">
        <v>42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152</v>
      </c>
      <c r="B462" t="s">
        <v>34</v>
      </c>
      <c r="C462" t="s">
        <v>78</v>
      </c>
      <c r="D462">
        <v>1</v>
      </c>
      <c r="E462">
        <v>2019</v>
      </c>
      <c r="F462" t="s">
        <v>42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152</v>
      </c>
      <c r="B463" t="s">
        <v>32</v>
      </c>
      <c r="D463">
        <v>0</v>
      </c>
      <c r="E463">
        <v>2019</v>
      </c>
      <c r="F463" t="s">
        <v>42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152</v>
      </c>
      <c r="B464" t="s">
        <v>79</v>
      </c>
      <c r="D464">
        <v>0</v>
      </c>
      <c r="E464">
        <v>2019</v>
      </c>
      <c r="F464" t="s">
        <v>42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152</v>
      </c>
      <c r="B465" t="s">
        <v>64</v>
      </c>
      <c r="C465" t="s">
        <v>80</v>
      </c>
      <c r="D465">
        <v>1</v>
      </c>
      <c r="E465">
        <v>2019</v>
      </c>
      <c r="F465" t="s">
        <v>42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152</v>
      </c>
      <c r="B466" t="s">
        <v>137</v>
      </c>
      <c r="C466" t="s">
        <v>139</v>
      </c>
      <c r="D466">
        <v>1</v>
      </c>
      <c r="E466">
        <v>2019</v>
      </c>
      <c r="F466" t="s">
        <v>42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152</v>
      </c>
      <c r="B467" t="s">
        <v>138</v>
      </c>
      <c r="C467" t="s">
        <v>139</v>
      </c>
      <c r="D467">
        <v>1</v>
      </c>
      <c r="E467">
        <v>2019</v>
      </c>
      <c r="F467" t="s">
        <v>42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152</v>
      </c>
      <c r="B468" t="s">
        <v>81</v>
      </c>
      <c r="D468">
        <v>0</v>
      </c>
      <c r="E468">
        <v>2019</v>
      </c>
      <c r="F468" t="s">
        <v>42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152</v>
      </c>
      <c r="B469" t="s">
        <v>71</v>
      </c>
      <c r="D469">
        <v>0</v>
      </c>
      <c r="E469">
        <v>2019</v>
      </c>
      <c r="F469" t="s">
        <v>42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152</v>
      </c>
      <c r="B470" t="s">
        <v>57</v>
      </c>
      <c r="D470">
        <v>0</v>
      </c>
      <c r="E470">
        <v>2019</v>
      </c>
      <c r="F470" t="s">
        <v>42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152</v>
      </c>
      <c r="B471" t="s">
        <v>63</v>
      </c>
      <c r="C471" t="s">
        <v>63</v>
      </c>
      <c r="D471">
        <v>1</v>
      </c>
      <c r="E471">
        <v>2019</v>
      </c>
      <c r="F471" t="s">
        <v>42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32210.735628649098</v>
      </c>
      <c r="N471">
        <v>29732.986734137623</v>
      </c>
      <c r="O471">
        <v>0</v>
      </c>
      <c r="P471">
        <v>0</v>
      </c>
      <c r="Q471">
        <v>32210.735628649098</v>
      </c>
      <c r="R471">
        <v>0</v>
      </c>
      <c r="S471">
        <v>1.1273757470027184</v>
      </c>
      <c r="T471">
        <v>0</v>
      </c>
      <c r="U471">
        <v>1.1273757470027184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152</v>
      </c>
      <c r="B472" t="s">
        <v>54</v>
      </c>
      <c r="C472" t="s">
        <v>75</v>
      </c>
      <c r="D472">
        <v>1</v>
      </c>
      <c r="E472">
        <v>2019</v>
      </c>
      <c r="F472" t="s">
        <v>42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152</v>
      </c>
      <c r="B473" t="s">
        <v>82</v>
      </c>
      <c r="D473">
        <v>0</v>
      </c>
      <c r="E473">
        <v>2019</v>
      </c>
      <c r="F473" t="s">
        <v>42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152</v>
      </c>
      <c r="B474" t="s">
        <v>61</v>
      </c>
      <c r="D474">
        <v>0</v>
      </c>
      <c r="E474">
        <v>2019</v>
      </c>
      <c r="F474" t="s">
        <v>42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152</v>
      </c>
      <c r="B475" t="s">
        <v>46</v>
      </c>
      <c r="C475" t="s">
        <v>72</v>
      </c>
      <c r="D475">
        <v>1</v>
      </c>
      <c r="E475">
        <v>2019</v>
      </c>
      <c r="F475" t="s">
        <v>42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152</v>
      </c>
      <c r="B476" t="s">
        <v>43</v>
      </c>
      <c r="C476" t="s">
        <v>73</v>
      </c>
      <c r="D476">
        <v>1</v>
      </c>
      <c r="E476">
        <v>2019</v>
      </c>
      <c r="F476" t="s">
        <v>42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152</v>
      </c>
      <c r="B477" t="s">
        <v>31</v>
      </c>
      <c r="D477">
        <v>0</v>
      </c>
      <c r="E477">
        <v>2019</v>
      </c>
      <c r="F477" t="s">
        <v>42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152</v>
      </c>
      <c r="B478" t="s">
        <v>35</v>
      </c>
      <c r="C478" t="s">
        <v>78</v>
      </c>
      <c r="D478">
        <v>1</v>
      </c>
      <c r="E478">
        <v>2019</v>
      </c>
      <c r="F478" t="s">
        <v>42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152</v>
      </c>
      <c r="B479" t="s">
        <v>83</v>
      </c>
      <c r="D479">
        <v>1</v>
      </c>
      <c r="E479">
        <v>2019</v>
      </c>
      <c r="F479" t="s">
        <v>42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152</v>
      </c>
      <c r="B480" t="s">
        <v>65</v>
      </c>
      <c r="C480" t="s">
        <v>80</v>
      </c>
      <c r="D480">
        <v>1</v>
      </c>
      <c r="E480">
        <v>2019</v>
      </c>
      <c r="F480" t="s">
        <v>42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152</v>
      </c>
      <c r="B481" t="s">
        <v>84</v>
      </c>
      <c r="D481">
        <v>0</v>
      </c>
      <c r="E481">
        <v>2019</v>
      </c>
      <c r="F481" t="s">
        <v>42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187413.07432328182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152</v>
      </c>
      <c r="B482" t="s">
        <v>39</v>
      </c>
      <c r="C482" t="s">
        <v>85</v>
      </c>
      <c r="D482">
        <v>0</v>
      </c>
      <c r="E482">
        <v>2030</v>
      </c>
      <c r="F482" t="s">
        <v>42</v>
      </c>
      <c r="G482">
        <v>17943.479437897957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-10265.860686730583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152</v>
      </c>
      <c r="B483" t="s">
        <v>33</v>
      </c>
      <c r="C483" t="s">
        <v>85</v>
      </c>
      <c r="D483">
        <v>0</v>
      </c>
      <c r="E483">
        <v>2030</v>
      </c>
      <c r="F483" t="s">
        <v>42</v>
      </c>
      <c r="G483">
        <v>236648.87861692617</v>
      </c>
      <c r="H483">
        <v>6753.2568750969058</v>
      </c>
      <c r="I483">
        <v>0</v>
      </c>
      <c r="J483">
        <v>37612.453499504722</v>
      </c>
      <c r="K483">
        <v>0</v>
      </c>
      <c r="L483">
        <v>0</v>
      </c>
      <c r="M483">
        <v>0</v>
      </c>
      <c r="N483">
        <v>0</v>
      </c>
      <c r="O483">
        <v>192283.16824232455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152</v>
      </c>
      <c r="B484" t="s">
        <v>47</v>
      </c>
      <c r="C484" t="s">
        <v>72</v>
      </c>
      <c r="D484">
        <v>1</v>
      </c>
      <c r="E484">
        <v>2030</v>
      </c>
      <c r="F484" t="s">
        <v>42</v>
      </c>
      <c r="G484">
        <v>168912.745758362</v>
      </c>
      <c r="H484">
        <v>0</v>
      </c>
      <c r="I484">
        <v>0</v>
      </c>
      <c r="J484">
        <v>0</v>
      </c>
      <c r="K484">
        <v>139215.72456040053</v>
      </c>
      <c r="L484">
        <v>0</v>
      </c>
      <c r="M484">
        <v>29697.021197961469</v>
      </c>
      <c r="N484">
        <v>0</v>
      </c>
      <c r="O484">
        <v>0</v>
      </c>
      <c r="P484">
        <v>0</v>
      </c>
      <c r="Q484">
        <v>168912.745758362</v>
      </c>
      <c r="R484">
        <v>0</v>
      </c>
      <c r="S484">
        <v>1.0044532153952073</v>
      </c>
      <c r="T484">
        <v>0.47429544416207425</v>
      </c>
      <c r="U484">
        <v>0.53015777123313301</v>
      </c>
      <c r="V484">
        <v>0</v>
      </c>
      <c r="W484">
        <v>47295.568812341364</v>
      </c>
      <c r="X484">
        <v>38980.402876912151</v>
      </c>
      <c r="Y484">
        <v>8315.1659354292133</v>
      </c>
      <c r="Z484">
        <v>0</v>
      </c>
    </row>
    <row r="485" spans="1:26" x14ac:dyDescent="0.25">
      <c r="A485" t="s">
        <v>152</v>
      </c>
      <c r="B485" t="s">
        <v>11</v>
      </c>
      <c r="C485" t="s">
        <v>85</v>
      </c>
      <c r="D485">
        <v>1</v>
      </c>
      <c r="E485">
        <v>2030</v>
      </c>
      <c r="F485" t="s">
        <v>42</v>
      </c>
      <c r="G485">
        <v>128594880.67864728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128594880.67864728</v>
      </c>
      <c r="N485">
        <v>0</v>
      </c>
      <c r="O485">
        <v>0</v>
      </c>
      <c r="P485">
        <v>0</v>
      </c>
      <c r="Q485">
        <v>128594880.67864728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152</v>
      </c>
      <c r="B486" t="s">
        <v>67</v>
      </c>
      <c r="C486" t="s">
        <v>85</v>
      </c>
      <c r="D486">
        <v>0</v>
      </c>
      <c r="E486">
        <v>2030</v>
      </c>
      <c r="F486" t="s">
        <v>42</v>
      </c>
      <c r="G486">
        <v>3463291.4601684776</v>
      </c>
      <c r="H486">
        <v>0</v>
      </c>
      <c r="I486">
        <v>0</v>
      </c>
      <c r="J486">
        <v>0</v>
      </c>
      <c r="K486">
        <v>0</v>
      </c>
      <c r="L486">
        <v>2715423.0201437804</v>
      </c>
      <c r="M486">
        <v>0</v>
      </c>
      <c r="N486">
        <v>0</v>
      </c>
      <c r="O486">
        <v>747868.44002469722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152</v>
      </c>
      <c r="B487" t="s">
        <v>50</v>
      </c>
      <c r="C487" t="s">
        <v>72</v>
      </c>
      <c r="D487">
        <v>1</v>
      </c>
      <c r="E487">
        <v>2030</v>
      </c>
      <c r="F487" t="s">
        <v>42</v>
      </c>
      <c r="G487">
        <v>117779.10583751521</v>
      </c>
      <c r="H487">
        <v>0</v>
      </c>
      <c r="I487">
        <v>0</v>
      </c>
      <c r="J487">
        <v>0</v>
      </c>
      <c r="K487">
        <v>58889.552918757603</v>
      </c>
      <c r="L487">
        <v>0</v>
      </c>
      <c r="M487">
        <v>0</v>
      </c>
      <c r="N487">
        <v>0</v>
      </c>
      <c r="O487">
        <v>58889.552918757603</v>
      </c>
      <c r="P487">
        <v>58889.552918757603</v>
      </c>
      <c r="Q487">
        <v>58889.552918757603</v>
      </c>
      <c r="R487">
        <v>3.3450801717144638E-2</v>
      </c>
      <c r="S487">
        <v>6.6901603434289275E-2</v>
      </c>
      <c r="T487">
        <v>3.3450801717144638E-2</v>
      </c>
      <c r="U487">
        <v>3.3450801717144638E-2</v>
      </c>
      <c r="V487">
        <v>2518.3167746100003</v>
      </c>
      <c r="W487">
        <v>5036.6335492200005</v>
      </c>
      <c r="X487">
        <v>2518.3167746100003</v>
      </c>
      <c r="Y487">
        <v>2518.3167746100003</v>
      </c>
      <c r="Z487">
        <v>0</v>
      </c>
    </row>
    <row r="488" spans="1:26" x14ac:dyDescent="0.25">
      <c r="A488" t="s">
        <v>152</v>
      </c>
      <c r="B488" t="s">
        <v>49</v>
      </c>
      <c r="C488" t="s">
        <v>73</v>
      </c>
      <c r="D488">
        <v>1</v>
      </c>
      <c r="E488">
        <v>2030</v>
      </c>
      <c r="F488" t="s">
        <v>42</v>
      </c>
      <c r="G488">
        <v>306141.93972624006</v>
      </c>
      <c r="H488">
        <v>0</v>
      </c>
      <c r="I488">
        <v>0</v>
      </c>
      <c r="J488">
        <v>0</v>
      </c>
      <c r="K488">
        <v>153070.96986312003</v>
      </c>
      <c r="L488">
        <v>57948.295733895437</v>
      </c>
      <c r="M488">
        <v>0</v>
      </c>
      <c r="N488">
        <v>0</v>
      </c>
      <c r="O488">
        <v>95122.674129224586</v>
      </c>
      <c r="P488">
        <v>95122.674129224586</v>
      </c>
      <c r="Q488">
        <v>153070.96986312003</v>
      </c>
      <c r="R488">
        <v>0.20489424007434975</v>
      </c>
      <c r="S488">
        <v>0.53460910915951032</v>
      </c>
      <c r="T488">
        <v>0.32971486908516057</v>
      </c>
      <c r="U488">
        <v>0.20489424007434975</v>
      </c>
      <c r="V488">
        <v>28536.802238767374</v>
      </c>
      <c r="W488">
        <v>74458.093197703376</v>
      </c>
      <c r="X488">
        <v>45921.290958936006</v>
      </c>
      <c r="Y488">
        <v>28536.80223876737</v>
      </c>
      <c r="Z488">
        <v>0</v>
      </c>
    </row>
    <row r="489" spans="1:26" x14ac:dyDescent="0.25">
      <c r="A489" t="s">
        <v>152</v>
      </c>
      <c r="B489" t="s">
        <v>59</v>
      </c>
      <c r="C489" t="s">
        <v>85</v>
      </c>
      <c r="D489">
        <v>0</v>
      </c>
      <c r="E489">
        <v>2030</v>
      </c>
      <c r="F489" t="s">
        <v>42</v>
      </c>
      <c r="G489">
        <v>82956.317281270603</v>
      </c>
      <c r="H489">
        <v>85056.271152794114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-2099.9538715235103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1</v>
      </c>
    </row>
    <row r="490" spans="1:26" x14ac:dyDescent="0.25">
      <c r="A490" t="s">
        <v>152</v>
      </c>
      <c r="B490" t="s">
        <v>45</v>
      </c>
      <c r="C490" t="s">
        <v>73</v>
      </c>
      <c r="D490">
        <v>1</v>
      </c>
      <c r="E490">
        <v>2030</v>
      </c>
      <c r="F490" t="s">
        <v>42</v>
      </c>
      <c r="G490">
        <v>700.20192515285464</v>
      </c>
      <c r="H490">
        <v>0</v>
      </c>
      <c r="I490">
        <v>0</v>
      </c>
      <c r="J490">
        <v>0</v>
      </c>
      <c r="K490">
        <v>350.10096257642732</v>
      </c>
      <c r="L490">
        <v>350.10096257642732</v>
      </c>
      <c r="M490">
        <v>0</v>
      </c>
      <c r="N490">
        <v>0</v>
      </c>
      <c r="O490">
        <v>0</v>
      </c>
      <c r="P490">
        <v>0</v>
      </c>
      <c r="Q490">
        <v>350.10096257642732</v>
      </c>
      <c r="R490">
        <v>0</v>
      </c>
      <c r="S490">
        <v>1.6464898169006801E-4</v>
      </c>
      <c r="T490">
        <v>1.6464898169006801E-4</v>
      </c>
      <c r="U490">
        <v>0</v>
      </c>
      <c r="V490">
        <v>0</v>
      </c>
      <c r="W490">
        <v>22.056360642314921</v>
      </c>
      <c r="X490">
        <v>22.056360642314921</v>
      </c>
      <c r="Y490">
        <v>0</v>
      </c>
      <c r="Z490">
        <v>0</v>
      </c>
    </row>
    <row r="491" spans="1:26" x14ac:dyDescent="0.25">
      <c r="A491" t="s">
        <v>152</v>
      </c>
      <c r="B491" t="s">
        <v>38</v>
      </c>
      <c r="C491" t="s">
        <v>85</v>
      </c>
      <c r="D491">
        <v>0</v>
      </c>
      <c r="E491">
        <v>2030</v>
      </c>
      <c r="F491" t="s">
        <v>42</v>
      </c>
      <c r="G491">
        <v>15244.045659594452</v>
      </c>
      <c r="H491">
        <v>0</v>
      </c>
      <c r="I491">
        <v>0</v>
      </c>
      <c r="J491">
        <v>24448.094774678073</v>
      </c>
      <c r="K491">
        <v>0</v>
      </c>
      <c r="L491">
        <v>0</v>
      </c>
      <c r="M491">
        <v>0</v>
      </c>
      <c r="N491">
        <v>0</v>
      </c>
      <c r="O491">
        <v>-9204.0491150836206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152</v>
      </c>
      <c r="B492" t="s">
        <v>74</v>
      </c>
      <c r="C492" t="s">
        <v>85</v>
      </c>
      <c r="D492">
        <v>0</v>
      </c>
      <c r="E492">
        <v>2030</v>
      </c>
      <c r="F492" t="s">
        <v>42</v>
      </c>
      <c r="G492">
        <v>305992.70014446857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305992.70014446857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152</v>
      </c>
      <c r="B493" t="s">
        <v>40</v>
      </c>
      <c r="C493" t="s">
        <v>85</v>
      </c>
      <c r="D493">
        <v>0</v>
      </c>
      <c r="E493">
        <v>2030</v>
      </c>
      <c r="F493" t="s">
        <v>42</v>
      </c>
      <c r="G493">
        <v>8836.4833979464438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-214487.45925536286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152</v>
      </c>
      <c r="B494" t="s">
        <v>56</v>
      </c>
      <c r="C494" t="s">
        <v>56</v>
      </c>
      <c r="D494">
        <v>1</v>
      </c>
      <c r="E494">
        <v>2030</v>
      </c>
      <c r="F494" t="s">
        <v>42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152</v>
      </c>
      <c r="B495" t="s">
        <v>52</v>
      </c>
      <c r="C495" t="s">
        <v>75</v>
      </c>
      <c r="D495">
        <v>1</v>
      </c>
      <c r="E495">
        <v>2030</v>
      </c>
      <c r="F495" t="s">
        <v>42</v>
      </c>
      <c r="G495">
        <v>3202126.876592584</v>
      </c>
      <c r="H495">
        <v>1249218.6841023962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241028.49151254582</v>
      </c>
      <c r="O495">
        <v>1711879.7009776419</v>
      </c>
      <c r="P495">
        <v>609007.13439456909</v>
      </c>
      <c r="Q495">
        <v>0</v>
      </c>
      <c r="R495">
        <v>1.1204970013942079</v>
      </c>
      <c r="S495">
        <v>1.1204970013942079</v>
      </c>
      <c r="T495">
        <v>0</v>
      </c>
      <c r="U495">
        <v>1.1204970013942079</v>
      </c>
      <c r="V495">
        <v>170521.99763047937</v>
      </c>
      <c r="W495">
        <v>170521.99763047937</v>
      </c>
      <c r="X495">
        <v>0</v>
      </c>
      <c r="Y495">
        <v>170521.99763047937</v>
      </c>
      <c r="Z495">
        <v>0</v>
      </c>
    </row>
    <row r="496" spans="1:26" x14ac:dyDescent="0.25">
      <c r="A496" t="s">
        <v>152</v>
      </c>
      <c r="B496" t="s">
        <v>60</v>
      </c>
      <c r="C496" t="s">
        <v>85</v>
      </c>
      <c r="D496">
        <v>0</v>
      </c>
      <c r="E496">
        <v>2030</v>
      </c>
      <c r="F496" t="s">
        <v>42</v>
      </c>
      <c r="G496">
        <v>40293.068393760004</v>
      </c>
      <c r="H496">
        <v>40293.068393760004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152</v>
      </c>
      <c r="B497" t="s">
        <v>29</v>
      </c>
      <c r="C497" t="s">
        <v>85</v>
      </c>
      <c r="D497">
        <v>0</v>
      </c>
      <c r="E497">
        <v>2030</v>
      </c>
      <c r="F497" t="s">
        <v>42</v>
      </c>
      <c r="G497">
        <v>347744.96971798869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113842.5245179437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</row>
    <row r="498" spans="1:26" x14ac:dyDescent="0.25">
      <c r="A498" t="s">
        <v>152</v>
      </c>
      <c r="B498" t="s">
        <v>51</v>
      </c>
      <c r="C498" t="s">
        <v>76</v>
      </c>
      <c r="D498">
        <v>1</v>
      </c>
      <c r="E498">
        <v>2030</v>
      </c>
      <c r="F498" t="s">
        <v>42</v>
      </c>
      <c r="G498">
        <v>727568.29535658681</v>
      </c>
      <c r="H498">
        <v>72885.308357843693</v>
      </c>
      <c r="I498">
        <v>88127.0144073915</v>
      </c>
      <c r="J498">
        <v>0</v>
      </c>
      <c r="K498">
        <v>219184.55483795886</v>
      </c>
      <c r="L498">
        <v>0</v>
      </c>
      <c r="M498">
        <v>210381.07097966829</v>
      </c>
      <c r="N498">
        <v>136990.3467737243</v>
      </c>
      <c r="O498">
        <v>0</v>
      </c>
      <c r="P498">
        <v>0</v>
      </c>
      <c r="Q498">
        <v>429565.62581762718</v>
      </c>
      <c r="R498">
        <v>0</v>
      </c>
      <c r="S498">
        <v>3.4381753253659779</v>
      </c>
      <c r="T498">
        <v>1.2637173183004453</v>
      </c>
      <c r="U498">
        <v>2.1744580070655326</v>
      </c>
      <c r="V498">
        <v>0</v>
      </c>
      <c r="W498">
        <v>365130.78194498311</v>
      </c>
      <c r="X498">
        <v>186306.87161226504</v>
      </c>
      <c r="Y498">
        <v>178823.91033271808</v>
      </c>
      <c r="Z498">
        <v>0</v>
      </c>
    </row>
    <row r="499" spans="1:26" x14ac:dyDescent="0.25">
      <c r="A499" t="s">
        <v>152</v>
      </c>
      <c r="B499" t="s">
        <v>55</v>
      </c>
      <c r="C499" t="s">
        <v>72</v>
      </c>
      <c r="D499">
        <v>1</v>
      </c>
      <c r="E499">
        <v>2030</v>
      </c>
      <c r="F499" t="s">
        <v>42</v>
      </c>
      <c r="G499">
        <v>456074.89013160887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456074.89013160887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8.1419495125715642</v>
      </c>
      <c r="T499">
        <v>0</v>
      </c>
      <c r="U499">
        <v>8.1419495125715642</v>
      </c>
      <c r="V499">
        <v>0</v>
      </c>
      <c r="W499">
        <v>136822.46703948267</v>
      </c>
      <c r="X499">
        <v>0</v>
      </c>
      <c r="Y499">
        <v>136822.46703948267</v>
      </c>
      <c r="Z499">
        <v>0</v>
      </c>
    </row>
    <row r="500" spans="1:26" x14ac:dyDescent="0.25">
      <c r="A500" t="s">
        <v>152</v>
      </c>
      <c r="B500" t="s">
        <v>62</v>
      </c>
      <c r="C500" t="s">
        <v>85</v>
      </c>
      <c r="D500">
        <v>0</v>
      </c>
      <c r="E500">
        <v>2030</v>
      </c>
      <c r="F500" t="s">
        <v>42</v>
      </c>
      <c r="G500">
        <v>0</v>
      </c>
      <c r="H500">
        <v>253448.52986846305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-253448.52986846305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152</v>
      </c>
      <c r="B501" t="s">
        <v>48</v>
      </c>
      <c r="C501" t="s">
        <v>72</v>
      </c>
      <c r="D501">
        <v>1</v>
      </c>
      <c r="E501">
        <v>2030</v>
      </c>
      <c r="F501" t="s">
        <v>42</v>
      </c>
      <c r="G501">
        <v>197320.60782302488</v>
      </c>
      <c r="H501">
        <v>0</v>
      </c>
      <c r="I501">
        <v>0</v>
      </c>
      <c r="J501">
        <v>0</v>
      </c>
      <c r="K501">
        <v>176163.54761430927</v>
      </c>
      <c r="L501">
        <v>0</v>
      </c>
      <c r="M501">
        <v>0</v>
      </c>
      <c r="N501">
        <v>0</v>
      </c>
      <c r="O501">
        <v>21157.060208715615</v>
      </c>
      <c r="P501">
        <v>21157.060208715615</v>
      </c>
      <c r="Q501">
        <v>176163.54761430927</v>
      </c>
      <c r="R501">
        <v>9.1676292302191903E-2</v>
      </c>
      <c r="S501">
        <v>0.74051491241508505</v>
      </c>
      <c r="T501">
        <v>0.64883862011289317</v>
      </c>
      <c r="U501">
        <v>9.1676292302191875E-2</v>
      </c>
      <c r="V501">
        <v>8885.9652876605578</v>
      </c>
      <c r="W501">
        <v>82874.655285670451</v>
      </c>
      <c r="X501">
        <v>73988.689998009882</v>
      </c>
      <c r="Y501">
        <v>8885.9652876605687</v>
      </c>
      <c r="Z501">
        <v>0</v>
      </c>
    </row>
    <row r="502" spans="1:26" x14ac:dyDescent="0.25">
      <c r="A502" t="s">
        <v>152</v>
      </c>
      <c r="B502" t="s">
        <v>77</v>
      </c>
      <c r="C502" t="s">
        <v>85</v>
      </c>
      <c r="D502">
        <v>0</v>
      </c>
      <c r="E502">
        <v>2030</v>
      </c>
      <c r="F502" t="s">
        <v>42</v>
      </c>
      <c r="G502">
        <v>192081.97415480361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192081.97415480361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152</v>
      </c>
      <c r="B503" t="s">
        <v>30</v>
      </c>
      <c r="C503" t="s">
        <v>85</v>
      </c>
      <c r="D503">
        <v>0</v>
      </c>
      <c r="E503">
        <v>2030</v>
      </c>
      <c r="F503" t="s">
        <v>42</v>
      </c>
      <c r="G503">
        <v>468121.15740007936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361160.74276086281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152</v>
      </c>
      <c r="B504" t="s">
        <v>28</v>
      </c>
      <c r="C504" t="s">
        <v>76</v>
      </c>
      <c r="D504">
        <v>1</v>
      </c>
      <c r="E504">
        <v>2030</v>
      </c>
      <c r="F504" t="s">
        <v>42</v>
      </c>
      <c r="G504">
        <v>1486491.9274204669</v>
      </c>
      <c r="H504">
        <v>615661.50663535297</v>
      </c>
      <c r="I504">
        <v>0</v>
      </c>
      <c r="J504">
        <v>256234.83946537593</v>
      </c>
      <c r="K504">
        <v>0</v>
      </c>
      <c r="L504">
        <v>0</v>
      </c>
      <c r="M504">
        <v>0</v>
      </c>
      <c r="N504">
        <v>0</v>
      </c>
      <c r="O504">
        <v>614595.58131973795</v>
      </c>
      <c r="P504">
        <v>39059.814489957644</v>
      </c>
      <c r="Q504">
        <v>0</v>
      </c>
      <c r="R504">
        <v>0.13377439625407636</v>
      </c>
      <c r="S504">
        <v>0.13377439625407636</v>
      </c>
      <c r="T504">
        <v>0</v>
      </c>
      <c r="U504">
        <v>0.13377439625407636</v>
      </c>
      <c r="V504">
        <v>12108.54249188687</v>
      </c>
      <c r="W504">
        <v>12108.54249188687</v>
      </c>
      <c r="X504">
        <v>0</v>
      </c>
      <c r="Y504">
        <v>12108.54249188687</v>
      </c>
      <c r="Z504">
        <v>0</v>
      </c>
    </row>
    <row r="505" spans="1:26" x14ac:dyDescent="0.25">
      <c r="A505" t="s">
        <v>152</v>
      </c>
      <c r="B505" t="s">
        <v>68</v>
      </c>
      <c r="C505" t="s">
        <v>85</v>
      </c>
      <c r="D505">
        <v>0</v>
      </c>
      <c r="E505">
        <v>2030</v>
      </c>
      <c r="F505" t="s">
        <v>42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436449.33133728581</v>
      </c>
      <c r="M505">
        <v>0</v>
      </c>
      <c r="N505">
        <v>0</v>
      </c>
      <c r="O505">
        <v>-436449.33133728581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152</v>
      </c>
      <c r="B506" t="s">
        <v>44</v>
      </c>
      <c r="C506" t="s">
        <v>73</v>
      </c>
      <c r="D506">
        <v>1</v>
      </c>
      <c r="E506">
        <v>2030</v>
      </c>
      <c r="F506" t="s">
        <v>42</v>
      </c>
      <c r="G506">
        <v>784370.79676627764</v>
      </c>
      <c r="H506">
        <v>0</v>
      </c>
      <c r="I506">
        <v>0</v>
      </c>
      <c r="J506">
        <v>0</v>
      </c>
      <c r="K506">
        <v>392185.39838313882</v>
      </c>
      <c r="L506">
        <v>392185.39838313882</v>
      </c>
      <c r="M506">
        <v>0</v>
      </c>
      <c r="N506">
        <v>0</v>
      </c>
      <c r="O506">
        <v>0</v>
      </c>
      <c r="P506">
        <v>0</v>
      </c>
      <c r="Q506">
        <v>392185.39838313882</v>
      </c>
      <c r="R506">
        <v>0</v>
      </c>
      <c r="S506">
        <v>0.19852032680756107</v>
      </c>
      <c r="T506">
        <v>0.19852032680756107</v>
      </c>
      <c r="U506">
        <v>0</v>
      </c>
      <c r="V506">
        <v>0</v>
      </c>
      <c r="W506">
        <v>29806.09027711855</v>
      </c>
      <c r="X506">
        <v>29806.09027711855</v>
      </c>
      <c r="Y506">
        <v>0</v>
      </c>
      <c r="Z506">
        <v>0</v>
      </c>
    </row>
    <row r="507" spans="1:26" x14ac:dyDescent="0.25">
      <c r="A507" t="s">
        <v>152</v>
      </c>
      <c r="B507" t="s">
        <v>58</v>
      </c>
      <c r="C507" t="s">
        <v>85</v>
      </c>
      <c r="D507">
        <v>0</v>
      </c>
      <c r="E507">
        <v>2030</v>
      </c>
      <c r="F507" t="s">
        <v>42</v>
      </c>
      <c r="G507">
        <v>97928.953809553946</v>
      </c>
      <c r="H507">
        <v>143775.80309521878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-45846.849285664837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152</v>
      </c>
      <c r="B508" t="s">
        <v>53</v>
      </c>
      <c r="C508" t="s">
        <v>75</v>
      </c>
      <c r="D508">
        <v>1</v>
      </c>
      <c r="E508">
        <v>2030</v>
      </c>
      <c r="F508" t="s">
        <v>42</v>
      </c>
      <c r="G508">
        <v>1302069.3900100796</v>
      </c>
      <c r="H508">
        <v>601240.60358794441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700828.78642213519</v>
      </c>
      <c r="P508">
        <v>83735.381307492848</v>
      </c>
      <c r="Q508">
        <v>0</v>
      </c>
      <c r="R508">
        <v>0.30061001889389938</v>
      </c>
      <c r="S508">
        <v>0.30061001889389938</v>
      </c>
      <c r="T508">
        <v>0</v>
      </c>
      <c r="U508">
        <v>0.30061001889389938</v>
      </c>
      <c r="V508">
        <v>25120.614392247855</v>
      </c>
      <c r="W508">
        <v>25120.614392247855</v>
      </c>
      <c r="X508">
        <v>0</v>
      </c>
      <c r="Y508">
        <v>25120.614392247855</v>
      </c>
      <c r="Z508">
        <v>0</v>
      </c>
    </row>
    <row r="509" spans="1:26" x14ac:dyDescent="0.25">
      <c r="A509" t="s">
        <v>152</v>
      </c>
      <c r="B509" t="s">
        <v>37</v>
      </c>
      <c r="C509" t="s">
        <v>85</v>
      </c>
      <c r="D509">
        <v>0</v>
      </c>
      <c r="E509">
        <v>2030</v>
      </c>
      <c r="F509" t="s">
        <v>42</v>
      </c>
      <c r="G509">
        <v>188952.05676907348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-220083.37503804039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152</v>
      </c>
      <c r="B510" t="s">
        <v>34</v>
      </c>
      <c r="C510" t="s">
        <v>78</v>
      </c>
      <c r="D510">
        <v>1</v>
      </c>
      <c r="E510">
        <v>2030</v>
      </c>
      <c r="F510" t="s">
        <v>42</v>
      </c>
      <c r="G510">
        <v>69865.048763892031</v>
      </c>
      <c r="H510">
        <v>14734.832191867023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55130.216572025005</v>
      </c>
      <c r="P510">
        <v>55130.216572025005</v>
      </c>
      <c r="Q510">
        <v>0</v>
      </c>
      <c r="R510">
        <v>4.9479369373392444E-2</v>
      </c>
      <c r="S510">
        <v>4.9479369373392444E-2</v>
      </c>
      <c r="T510">
        <v>0</v>
      </c>
      <c r="U510">
        <v>4.9479369373392444E-2</v>
      </c>
      <c r="V510">
        <v>8269.5324858037511</v>
      </c>
      <c r="W510">
        <v>8269.5324858037511</v>
      </c>
      <c r="X510">
        <v>0</v>
      </c>
      <c r="Y510">
        <v>8269.5324858037511</v>
      </c>
      <c r="Z510">
        <v>0</v>
      </c>
    </row>
    <row r="511" spans="1:26" x14ac:dyDescent="0.25">
      <c r="A511" t="s">
        <v>152</v>
      </c>
      <c r="B511" t="s">
        <v>32</v>
      </c>
      <c r="C511" t="s">
        <v>85</v>
      </c>
      <c r="D511">
        <v>0</v>
      </c>
      <c r="E511">
        <v>2030</v>
      </c>
      <c r="F511" t="s">
        <v>42</v>
      </c>
      <c r="G511">
        <v>6413.9260224304726</v>
      </c>
      <c r="H511">
        <v>0</v>
      </c>
      <c r="I511">
        <v>0</v>
      </c>
      <c r="J511">
        <v>41580.567343702467</v>
      </c>
      <c r="K511">
        <v>0</v>
      </c>
      <c r="L511">
        <v>0</v>
      </c>
      <c r="M511">
        <v>0</v>
      </c>
      <c r="N511">
        <v>0</v>
      </c>
      <c r="O511">
        <v>-35166.641321271993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5">
      <c r="A512" t="s">
        <v>152</v>
      </c>
      <c r="B512" t="s">
        <v>79</v>
      </c>
      <c r="C512" t="s">
        <v>85</v>
      </c>
      <c r="D512">
        <v>0</v>
      </c>
      <c r="E512">
        <v>2030</v>
      </c>
      <c r="F512" t="s">
        <v>42</v>
      </c>
      <c r="G512">
        <v>422865.20297174889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422865.20297174889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152</v>
      </c>
      <c r="B513" t="s">
        <v>64</v>
      </c>
      <c r="C513" t="s">
        <v>80</v>
      </c>
      <c r="D513">
        <v>1</v>
      </c>
      <c r="E513">
        <v>2030</v>
      </c>
      <c r="F513" t="s">
        <v>42</v>
      </c>
      <c r="G513">
        <v>37498.079683485725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37498.079683485725</v>
      </c>
      <c r="N513">
        <v>0</v>
      </c>
      <c r="O513">
        <v>0</v>
      </c>
      <c r="P513">
        <v>0</v>
      </c>
      <c r="Q513">
        <v>37498.079683485725</v>
      </c>
      <c r="R513">
        <v>0</v>
      </c>
      <c r="S513">
        <v>0.68996466617613716</v>
      </c>
      <c r="T513">
        <v>0</v>
      </c>
      <c r="U513">
        <v>0.68996466617613716</v>
      </c>
      <c r="V513">
        <v>0</v>
      </c>
      <c r="W513">
        <v>15561.703068646577</v>
      </c>
      <c r="X513">
        <v>0</v>
      </c>
      <c r="Y513">
        <v>15561.703068646577</v>
      </c>
      <c r="Z513">
        <v>0</v>
      </c>
    </row>
    <row r="514" spans="1:26" x14ac:dyDescent="0.25">
      <c r="A514" t="s">
        <v>152</v>
      </c>
      <c r="B514" t="s">
        <v>137</v>
      </c>
      <c r="C514" t="s">
        <v>139</v>
      </c>
      <c r="D514">
        <v>1</v>
      </c>
      <c r="E514">
        <v>2030</v>
      </c>
      <c r="F514" t="s">
        <v>42</v>
      </c>
      <c r="G514">
        <v>76714.594193285622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76714.594193285622</v>
      </c>
      <c r="N514">
        <v>0</v>
      </c>
      <c r="O514">
        <v>0</v>
      </c>
      <c r="P514">
        <v>0</v>
      </c>
      <c r="Q514">
        <v>76714.594193285622</v>
      </c>
      <c r="R514">
        <v>0</v>
      </c>
      <c r="S514">
        <v>0.68747235624925795</v>
      </c>
      <c r="T514">
        <v>0</v>
      </c>
      <c r="U514">
        <v>0.68747235624925795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152</v>
      </c>
      <c r="B515" t="s">
        <v>138</v>
      </c>
      <c r="C515" t="s">
        <v>139</v>
      </c>
      <c r="D515">
        <v>1</v>
      </c>
      <c r="E515">
        <v>2030</v>
      </c>
      <c r="F515" t="s">
        <v>42</v>
      </c>
      <c r="G515">
        <v>19178.648548321406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19178.648548321406</v>
      </c>
      <c r="N515">
        <v>0</v>
      </c>
      <c r="O515">
        <v>0</v>
      </c>
      <c r="P515">
        <v>0</v>
      </c>
      <c r="Q515">
        <v>19178.648548321406</v>
      </c>
      <c r="R515">
        <v>0</v>
      </c>
      <c r="S515">
        <v>0.63804623913329828</v>
      </c>
      <c r="T515">
        <v>0</v>
      </c>
      <c r="U515">
        <v>0.63804623913329828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152</v>
      </c>
      <c r="B516" t="s">
        <v>81</v>
      </c>
      <c r="C516" t="s">
        <v>85</v>
      </c>
      <c r="D516">
        <v>0</v>
      </c>
      <c r="E516">
        <v>2030</v>
      </c>
      <c r="F516" t="s">
        <v>42</v>
      </c>
      <c r="G516">
        <v>294236.93392679736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294236.93392679736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152</v>
      </c>
      <c r="B517" t="s">
        <v>71</v>
      </c>
      <c r="C517" t="s">
        <v>85</v>
      </c>
      <c r="D517">
        <v>0</v>
      </c>
      <c r="E517">
        <v>2030</v>
      </c>
      <c r="F517" t="s">
        <v>42</v>
      </c>
      <c r="G517">
        <v>145418.61659697676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145418.61659697676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152</v>
      </c>
      <c r="B518" t="s">
        <v>57</v>
      </c>
      <c r="C518" t="s">
        <v>85</v>
      </c>
      <c r="D518">
        <v>0</v>
      </c>
      <c r="E518">
        <v>2030</v>
      </c>
      <c r="F518" t="s">
        <v>42</v>
      </c>
      <c r="G518">
        <v>72709.30829848838</v>
      </c>
      <c r="H518">
        <v>27471.596682363863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45237.711616124521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152</v>
      </c>
      <c r="B519" t="s">
        <v>63</v>
      </c>
      <c r="C519" t="s">
        <v>63</v>
      </c>
      <c r="D519">
        <v>1</v>
      </c>
      <c r="E519">
        <v>2030</v>
      </c>
      <c r="F519" t="s">
        <v>42</v>
      </c>
      <c r="G519">
        <v>46533.957311032565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46533.957311032565</v>
      </c>
      <c r="N519">
        <v>0</v>
      </c>
      <c r="O519">
        <v>0</v>
      </c>
      <c r="P519">
        <v>0</v>
      </c>
      <c r="Q519">
        <v>46533.957311032565</v>
      </c>
      <c r="R519">
        <v>0</v>
      </c>
      <c r="S519">
        <v>1.6286885058861396</v>
      </c>
      <c r="T519">
        <v>0</v>
      </c>
      <c r="U519">
        <v>1.6286885058861396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152</v>
      </c>
      <c r="B520" t="s">
        <v>54</v>
      </c>
      <c r="C520" t="s">
        <v>75</v>
      </c>
      <c r="D520">
        <v>1</v>
      </c>
      <c r="E520">
        <v>2030</v>
      </c>
      <c r="F520" t="s">
        <v>42</v>
      </c>
      <c r="G520">
        <v>556877.33002889308</v>
      </c>
      <c r="H520">
        <v>190994.95568667154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365882.37434222153</v>
      </c>
      <c r="P520">
        <v>365882.37434222153</v>
      </c>
      <c r="Q520">
        <v>0</v>
      </c>
      <c r="R520">
        <v>0.9930193992597629</v>
      </c>
      <c r="S520">
        <v>0.9930193992597629</v>
      </c>
      <c r="T520">
        <v>0</v>
      </c>
      <c r="U520">
        <v>0.9930193992597629</v>
      </c>
      <c r="V520">
        <v>73176.474868444304</v>
      </c>
      <c r="W520">
        <v>73176.474868444304</v>
      </c>
      <c r="X520">
        <v>0</v>
      </c>
      <c r="Y520">
        <v>73176.474868444304</v>
      </c>
      <c r="Z520">
        <v>0</v>
      </c>
    </row>
    <row r="521" spans="1:26" x14ac:dyDescent="0.25">
      <c r="A521" t="s">
        <v>152</v>
      </c>
      <c r="B521" t="s">
        <v>82</v>
      </c>
      <c r="C521" t="s">
        <v>85</v>
      </c>
      <c r="D521">
        <v>0</v>
      </c>
      <c r="E521">
        <v>2030</v>
      </c>
      <c r="F521" t="s">
        <v>42</v>
      </c>
      <c r="G521">
        <v>19155.449798472495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19155.449798472495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152</v>
      </c>
      <c r="B522" t="s">
        <v>61</v>
      </c>
      <c r="C522" t="s">
        <v>85</v>
      </c>
      <c r="D522">
        <v>0</v>
      </c>
      <c r="E522">
        <v>2030</v>
      </c>
      <c r="F522" t="s">
        <v>42</v>
      </c>
      <c r="G522">
        <v>15546.862316164015</v>
      </c>
      <c r="H522">
        <v>4532.970194298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11013.892121866014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152</v>
      </c>
      <c r="B523" t="s">
        <v>46</v>
      </c>
      <c r="C523" t="s">
        <v>72</v>
      </c>
      <c r="D523">
        <v>1</v>
      </c>
      <c r="E523">
        <v>2030</v>
      </c>
      <c r="F523" t="s">
        <v>42</v>
      </c>
      <c r="G523">
        <v>3342755.9866439682</v>
      </c>
      <c r="H523">
        <v>0</v>
      </c>
      <c r="I523">
        <v>0</v>
      </c>
      <c r="J523">
        <v>0</v>
      </c>
      <c r="K523">
        <v>1671377.9933219841</v>
      </c>
      <c r="L523">
        <v>0</v>
      </c>
      <c r="M523">
        <v>0</v>
      </c>
      <c r="N523">
        <v>0</v>
      </c>
      <c r="O523">
        <v>1671377.9933219841</v>
      </c>
      <c r="P523">
        <v>1671377.9933219841</v>
      </c>
      <c r="Q523">
        <v>1671377.9933219841</v>
      </c>
      <c r="R523">
        <v>0.83403433244760339</v>
      </c>
      <c r="S523">
        <v>1.6680686648952068</v>
      </c>
      <c r="T523">
        <v>0.83403433244760339</v>
      </c>
      <c r="U523">
        <v>0.83403433244760339</v>
      </c>
      <c r="V523">
        <v>100282.67959931905</v>
      </c>
      <c r="W523">
        <v>200565.35919863809</v>
      </c>
      <c r="X523">
        <v>100282.67959931905</v>
      </c>
      <c r="Y523">
        <v>100282.67959931905</v>
      </c>
      <c r="Z523">
        <v>0</v>
      </c>
    </row>
    <row r="524" spans="1:26" x14ac:dyDescent="0.25">
      <c r="A524" t="s">
        <v>152</v>
      </c>
      <c r="B524" t="s">
        <v>43</v>
      </c>
      <c r="C524" t="s">
        <v>73</v>
      </c>
      <c r="D524">
        <v>1</v>
      </c>
      <c r="E524">
        <v>2030</v>
      </c>
      <c r="F524" t="s">
        <v>42</v>
      </c>
      <c r="G524">
        <v>1856654.8623364191</v>
      </c>
      <c r="H524">
        <v>0</v>
      </c>
      <c r="I524">
        <v>0</v>
      </c>
      <c r="J524">
        <v>0</v>
      </c>
      <c r="K524">
        <v>928327.43116820953</v>
      </c>
      <c r="L524">
        <v>928327.43116820953</v>
      </c>
      <c r="M524">
        <v>0</v>
      </c>
      <c r="N524">
        <v>0</v>
      </c>
      <c r="O524">
        <v>0</v>
      </c>
      <c r="P524">
        <v>0</v>
      </c>
      <c r="Q524">
        <v>928327.43116820953</v>
      </c>
      <c r="R524">
        <v>0</v>
      </c>
      <c r="S524">
        <v>0.39992345734726475</v>
      </c>
      <c r="T524">
        <v>0.39992345734726475</v>
      </c>
      <c r="U524">
        <v>0</v>
      </c>
      <c r="V524">
        <v>0</v>
      </c>
      <c r="W524">
        <v>46416.371558410479</v>
      </c>
      <c r="X524">
        <v>46416.371558410479</v>
      </c>
      <c r="Y524">
        <v>0</v>
      </c>
      <c r="Z524">
        <v>0</v>
      </c>
    </row>
    <row r="525" spans="1:26" x14ac:dyDescent="0.25">
      <c r="A525" t="s">
        <v>152</v>
      </c>
      <c r="B525" t="s">
        <v>31</v>
      </c>
      <c r="C525" t="s">
        <v>85</v>
      </c>
      <c r="D525">
        <v>0</v>
      </c>
      <c r="E525">
        <v>2030</v>
      </c>
      <c r="F525" t="s">
        <v>42</v>
      </c>
      <c r="G525">
        <v>169719.59522405529</v>
      </c>
      <c r="H525">
        <v>0</v>
      </c>
      <c r="I525">
        <v>0</v>
      </c>
      <c r="J525">
        <v>84421.151879638346</v>
      </c>
      <c r="K525">
        <v>0</v>
      </c>
      <c r="L525">
        <v>0</v>
      </c>
      <c r="M525">
        <v>0</v>
      </c>
      <c r="N525">
        <v>0</v>
      </c>
      <c r="O525">
        <v>85298.443344416941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152</v>
      </c>
      <c r="B526" t="s">
        <v>35</v>
      </c>
      <c r="C526" t="s">
        <v>78</v>
      </c>
      <c r="D526">
        <v>1</v>
      </c>
      <c r="E526">
        <v>2030</v>
      </c>
      <c r="F526" t="s">
        <v>42</v>
      </c>
      <c r="G526">
        <v>36000</v>
      </c>
      <c r="H526">
        <v>10184.369309084559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25815.630690915441</v>
      </c>
      <c r="P526">
        <v>25815.630690915441</v>
      </c>
      <c r="Q526">
        <v>0</v>
      </c>
      <c r="R526">
        <v>2.3169528545096612E-2</v>
      </c>
      <c r="S526">
        <v>2.3169528545096612E-2</v>
      </c>
      <c r="T526">
        <v>0</v>
      </c>
      <c r="U526">
        <v>2.3169528545096612E-2</v>
      </c>
      <c r="V526">
        <v>3872.3446036373161</v>
      </c>
      <c r="W526">
        <v>3872.3446036373161</v>
      </c>
      <c r="X526">
        <v>0</v>
      </c>
      <c r="Y526">
        <v>3872.3446036373161</v>
      </c>
      <c r="Z526">
        <v>0</v>
      </c>
    </row>
    <row r="527" spans="1:26" x14ac:dyDescent="0.25">
      <c r="A527" t="s">
        <v>152</v>
      </c>
      <c r="B527" t="s">
        <v>83</v>
      </c>
      <c r="C527" t="s">
        <v>85</v>
      </c>
      <c r="D527">
        <v>1</v>
      </c>
      <c r="E527">
        <v>2030</v>
      </c>
      <c r="F527" t="s">
        <v>42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152</v>
      </c>
      <c r="B528" t="s">
        <v>65</v>
      </c>
      <c r="C528" t="s">
        <v>80</v>
      </c>
      <c r="D528">
        <v>1</v>
      </c>
      <c r="E528">
        <v>2030</v>
      </c>
      <c r="F528" t="s">
        <v>42</v>
      </c>
      <c r="G528">
        <v>649813.31346796011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649813.31346796011</v>
      </c>
      <c r="N528">
        <v>0</v>
      </c>
      <c r="O528">
        <v>0</v>
      </c>
      <c r="P528">
        <v>0</v>
      </c>
      <c r="Q528">
        <v>649813.31346796011</v>
      </c>
      <c r="R528">
        <v>0</v>
      </c>
      <c r="S528">
        <v>9.4181140313889902</v>
      </c>
      <c r="T528">
        <v>0</v>
      </c>
      <c r="U528">
        <v>9.4181140313889902</v>
      </c>
      <c r="V528">
        <v>0</v>
      </c>
      <c r="W528">
        <v>321386.83461936191</v>
      </c>
      <c r="X528">
        <v>0</v>
      </c>
      <c r="Y528">
        <v>321386.83461936191</v>
      </c>
      <c r="Z528">
        <v>0</v>
      </c>
    </row>
    <row r="529" spans="1:26" x14ac:dyDescent="0.25">
      <c r="A529" t="s">
        <v>152</v>
      </c>
      <c r="B529" t="s">
        <v>84</v>
      </c>
      <c r="C529" t="s">
        <v>85</v>
      </c>
      <c r="D529">
        <v>0</v>
      </c>
      <c r="E529">
        <v>2030</v>
      </c>
      <c r="F529" t="s">
        <v>42</v>
      </c>
      <c r="G529">
        <v>179207.31600123239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179207.31600123239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152</v>
      </c>
      <c r="B530" t="s">
        <v>39</v>
      </c>
      <c r="C530" t="s">
        <v>85</v>
      </c>
      <c r="D530">
        <v>0</v>
      </c>
      <c r="E530">
        <v>2050</v>
      </c>
      <c r="F530" t="s">
        <v>42</v>
      </c>
      <c r="G530">
        <v>17476.099590900943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-12055.902429201011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152</v>
      </c>
      <c r="B531" t="s">
        <v>33</v>
      </c>
      <c r="C531" t="s">
        <v>85</v>
      </c>
      <c r="D531">
        <v>0</v>
      </c>
      <c r="E531">
        <v>2050</v>
      </c>
      <c r="F531" t="s">
        <v>42</v>
      </c>
      <c r="G531">
        <v>221818.3708822336</v>
      </c>
      <c r="H531">
        <v>5589.8969964537146</v>
      </c>
      <c r="I531">
        <v>0</v>
      </c>
      <c r="J531">
        <v>78752.00538693853</v>
      </c>
      <c r="K531">
        <v>0</v>
      </c>
      <c r="L531">
        <v>0</v>
      </c>
      <c r="M531">
        <v>0</v>
      </c>
      <c r="N531">
        <v>0</v>
      </c>
      <c r="O531">
        <v>137476.46849884136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152</v>
      </c>
      <c r="B532" t="s">
        <v>47</v>
      </c>
      <c r="C532" t="s">
        <v>72</v>
      </c>
      <c r="D532">
        <v>1</v>
      </c>
      <c r="E532">
        <v>2050</v>
      </c>
      <c r="F532" t="s">
        <v>42</v>
      </c>
      <c r="G532">
        <v>172292.68030975034</v>
      </c>
      <c r="H532">
        <v>0</v>
      </c>
      <c r="I532">
        <v>0</v>
      </c>
      <c r="J532">
        <v>0</v>
      </c>
      <c r="K532">
        <v>139781.08410503011</v>
      </c>
      <c r="L532">
        <v>0</v>
      </c>
      <c r="M532">
        <v>32511.596204720234</v>
      </c>
      <c r="N532">
        <v>0</v>
      </c>
      <c r="O532">
        <v>0</v>
      </c>
      <c r="P532">
        <v>0</v>
      </c>
      <c r="Q532">
        <v>172292.68030975034</v>
      </c>
      <c r="R532">
        <v>0</v>
      </c>
      <c r="S532">
        <v>1.0566257581740357</v>
      </c>
      <c r="T532">
        <v>0.47622157324826819</v>
      </c>
      <c r="U532">
        <v>0.58040418492576751</v>
      </c>
      <c r="V532">
        <v>0</v>
      </c>
      <c r="W532">
        <v>48241.9504867301</v>
      </c>
      <c r="X532">
        <v>39138.703549408434</v>
      </c>
      <c r="Y532">
        <v>9103.2469373216663</v>
      </c>
      <c r="Z532">
        <v>0</v>
      </c>
    </row>
    <row r="533" spans="1:26" x14ac:dyDescent="0.25">
      <c r="A533" t="s">
        <v>152</v>
      </c>
      <c r="B533" t="s">
        <v>11</v>
      </c>
      <c r="C533" t="s">
        <v>85</v>
      </c>
      <c r="D533">
        <v>1</v>
      </c>
      <c r="E533">
        <v>2050</v>
      </c>
      <c r="F533" t="s">
        <v>42</v>
      </c>
      <c r="G533">
        <v>126693668.10990787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126693668.10990787</v>
      </c>
      <c r="N533">
        <v>0</v>
      </c>
      <c r="O533">
        <v>0</v>
      </c>
      <c r="P533">
        <v>0</v>
      </c>
      <c r="Q533">
        <v>126693668.10990787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152</v>
      </c>
      <c r="B534" t="s">
        <v>67</v>
      </c>
      <c r="C534" t="s">
        <v>85</v>
      </c>
      <c r="D534">
        <v>0</v>
      </c>
      <c r="E534">
        <v>2050</v>
      </c>
      <c r="F534" t="s">
        <v>42</v>
      </c>
      <c r="G534">
        <v>4546668.4862954458</v>
      </c>
      <c r="H534">
        <v>0</v>
      </c>
      <c r="I534">
        <v>0</v>
      </c>
      <c r="J534">
        <v>0</v>
      </c>
      <c r="K534">
        <v>0</v>
      </c>
      <c r="L534">
        <v>3345582.5646034097</v>
      </c>
      <c r="M534">
        <v>0</v>
      </c>
      <c r="N534">
        <v>0</v>
      </c>
      <c r="O534">
        <v>1201085.9216920361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152</v>
      </c>
      <c r="B535" t="s">
        <v>50</v>
      </c>
      <c r="C535" t="s">
        <v>72</v>
      </c>
      <c r="D535">
        <v>1</v>
      </c>
      <c r="E535">
        <v>2050</v>
      </c>
      <c r="F535" t="s">
        <v>42</v>
      </c>
      <c r="G535">
        <v>158420.78251756265</v>
      </c>
      <c r="H535">
        <v>0</v>
      </c>
      <c r="I535">
        <v>0</v>
      </c>
      <c r="J535">
        <v>0</v>
      </c>
      <c r="K535">
        <v>118815.58688817199</v>
      </c>
      <c r="L535">
        <v>0</v>
      </c>
      <c r="M535">
        <v>0</v>
      </c>
      <c r="N535">
        <v>0</v>
      </c>
      <c r="O535">
        <v>39605.195629390655</v>
      </c>
      <c r="P535">
        <v>39605.195629390655</v>
      </c>
      <c r="Q535">
        <v>118815.58688817199</v>
      </c>
      <c r="R535">
        <v>2.2496783899771881E-2</v>
      </c>
      <c r="S535">
        <v>8.9987135599087525E-2</v>
      </c>
      <c r="T535">
        <v>6.7490351699315651E-2</v>
      </c>
      <c r="U535">
        <v>2.2496783899771874E-2</v>
      </c>
      <c r="V535">
        <v>1693.6523300287492</v>
      </c>
      <c r="W535">
        <v>6774.6093201149979</v>
      </c>
      <c r="X535">
        <v>5080.9569900862489</v>
      </c>
      <c r="Y535">
        <v>1693.652330028749</v>
      </c>
      <c r="Z535">
        <v>0</v>
      </c>
    </row>
    <row r="536" spans="1:26" x14ac:dyDescent="0.25">
      <c r="A536" t="s">
        <v>152</v>
      </c>
      <c r="B536" t="s">
        <v>49</v>
      </c>
      <c r="C536" t="s">
        <v>73</v>
      </c>
      <c r="D536">
        <v>1</v>
      </c>
      <c r="E536">
        <v>2050</v>
      </c>
      <c r="F536" t="s">
        <v>42</v>
      </c>
      <c r="G536">
        <v>267422.83722585865</v>
      </c>
      <c r="H536">
        <v>0</v>
      </c>
      <c r="I536">
        <v>0</v>
      </c>
      <c r="J536">
        <v>0</v>
      </c>
      <c r="K536">
        <v>200567.127919394</v>
      </c>
      <c r="L536">
        <v>25309.661380304478</v>
      </c>
      <c r="M536">
        <v>0</v>
      </c>
      <c r="N536">
        <v>0</v>
      </c>
      <c r="O536">
        <v>41546.047926160158</v>
      </c>
      <c r="P536">
        <v>41546.047926160158</v>
      </c>
      <c r="Q536">
        <v>200567.127919394</v>
      </c>
      <c r="R536">
        <v>8.9490187232948978E-2</v>
      </c>
      <c r="S536">
        <v>0.52151178077132365</v>
      </c>
      <c r="T536">
        <v>0.43202159353837466</v>
      </c>
      <c r="U536">
        <v>8.9490187232948992E-2</v>
      </c>
      <c r="V536">
        <v>12463.814377848046</v>
      </c>
      <c r="W536">
        <v>72633.95275366625</v>
      </c>
      <c r="X536">
        <v>60170.138375818198</v>
      </c>
      <c r="Y536">
        <v>12463.814377848052</v>
      </c>
      <c r="Z536">
        <v>0</v>
      </c>
    </row>
    <row r="537" spans="1:26" x14ac:dyDescent="0.25">
      <c r="A537" t="s">
        <v>152</v>
      </c>
      <c r="B537" t="s">
        <v>59</v>
      </c>
      <c r="C537" t="s">
        <v>85</v>
      </c>
      <c r="D537">
        <v>0</v>
      </c>
      <c r="E537">
        <v>2050</v>
      </c>
      <c r="F537" t="s">
        <v>42</v>
      </c>
      <c r="G537">
        <v>111581.8005666</v>
      </c>
      <c r="H537">
        <v>111164.09306538459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417.70750121540914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152</v>
      </c>
      <c r="B538" t="s">
        <v>45</v>
      </c>
      <c r="C538" t="s">
        <v>73</v>
      </c>
      <c r="D538">
        <v>1</v>
      </c>
      <c r="E538">
        <v>2050</v>
      </c>
      <c r="F538" t="s">
        <v>42</v>
      </c>
      <c r="G538">
        <v>723.09839736855315</v>
      </c>
      <c r="H538">
        <v>0</v>
      </c>
      <c r="I538">
        <v>0</v>
      </c>
      <c r="J538">
        <v>0</v>
      </c>
      <c r="K538">
        <v>542.32379802641481</v>
      </c>
      <c r="L538">
        <v>180.77459934213829</v>
      </c>
      <c r="M538">
        <v>0</v>
      </c>
      <c r="N538">
        <v>0</v>
      </c>
      <c r="O538">
        <v>0</v>
      </c>
      <c r="P538">
        <v>0</v>
      </c>
      <c r="Q538">
        <v>542.32379802641481</v>
      </c>
      <c r="R538">
        <v>0</v>
      </c>
      <c r="S538">
        <v>2.5504945897384263E-4</v>
      </c>
      <c r="T538">
        <v>2.5504945897384263E-4</v>
      </c>
      <c r="U538">
        <v>0</v>
      </c>
      <c r="V538">
        <v>0</v>
      </c>
      <c r="W538">
        <v>34.166399275664133</v>
      </c>
      <c r="X538">
        <v>34.166399275664133</v>
      </c>
      <c r="Y538">
        <v>0</v>
      </c>
      <c r="Z538">
        <v>0</v>
      </c>
    </row>
    <row r="539" spans="1:26" x14ac:dyDescent="0.25">
      <c r="A539" t="s">
        <v>152</v>
      </c>
      <c r="B539" t="s">
        <v>38</v>
      </c>
      <c r="C539" t="s">
        <v>85</v>
      </c>
      <c r="D539">
        <v>0</v>
      </c>
      <c r="E539">
        <v>2050</v>
      </c>
      <c r="F539" t="s">
        <v>42</v>
      </c>
      <c r="G539">
        <v>14575.114892812006</v>
      </c>
      <c r="H539">
        <v>0</v>
      </c>
      <c r="I539">
        <v>0</v>
      </c>
      <c r="J539">
        <v>19195.801313066269</v>
      </c>
      <c r="K539">
        <v>0</v>
      </c>
      <c r="L539">
        <v>0</v>
      </c>
      <c r="M539">
        <v>0</v>
      </c>
      <c r="N539">
        <v>0</v>
      </c>
      <c r="O539">
        <v>-4620.6864202542638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152</v>
      </c>
      <c r="B540" t="s">
        <v>74</v>
      </c>
      <c r="C540" t="s">
        <v>85</v>
      </c>
      <c r="D540">
        <v>0</v>
      </c>
      <c r="E540">
        <v>2050</v>
      </c>
      <c r="F540" t="s">
        <v>42</v>
      </c>
      <c r="G540">
        <v>271881.02377612574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271881.02377612574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152</v>
      </c>
      <c r="B541" t="s">
        <v>40</v>
      </c>
      <c r="C541" t="s">
        <v>85</v>
      </c>
      <c r="D541">
        <v>0</v>
      </c>
      <c r="E541">
        <v>2050</v>
      </c>
      <c r="F541" t="s">
        <v>42</v>
      </c>
      <c r="G541">
        <v>8118.8598545767245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-225676.15613789708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152</v>
      </c>
      <c r="B542" t="s">
        <v>56</v>
      </c>
      <c r="C542" t="s">
        <v>56</v>
      </c>
      <c r="D542">
        <v>1</v>
      </c>
      <c r="E542">
        <v>2050</v>
      </c>
      <c r="F542" t="s">
        <v>42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152</v>
      </c>
      <c r="B543" t="s">
        <v>52</v>
      </c>
      <c r="C543" t="s">
        <v>75</v>
      </c>
      <c r="D543">
        <v>1</v>
      </c>
      <c r="E543">
        <v>2050</v>
      </c>
      <c r="F543" t="s">
        <v>42</v>
      </c>
      <c r="G543">
        <v>3405031.0336044561</v>
      </c>
      <c r="H543">
        <v>1034020.1623202205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324199.45764508267</v>
      </c>
      <c r="O543">
        <v>2046811.4136391529</v>
      </c>
      <c r="P543">
        <v>631847.86233062344</v>
      </c>
      <c r="Q543">
        <v>0</v>
      </c>
      <c r="R543">
        <v>1.1625210857055559</v>
      </c>
      <c r="S543">
        <v>1.1625210857055559</v>
      </c>
      <c r="T543">
        <v>0</v>
      </c>
      <c r="U543">
        <v>1.1625210857055559</v>
      </c>
      <c r="V543">
        <v>176917.40145257459</v>
      </c>
      <c r="W543">
        <v>176917.40145257459</v>
      </c>
      <c r="X543">
        <v>0</v>
      </c>
      <c r="Y543">
        <v>176917.40145257459</v>
      </c>
      <c r="Z543">
        <v>0</v>
      </c>
    </row>
    <row r="544" spans="1:26" x14ac:dyDescent="0.25">
      <c r="A544" t="s">
        <v>152</v>
      </c>
      <c r="B544" t="s">
        <v>60</v>
      </c>
      <c r="C544" t="s">
        <v>85</v>
      </c>
      <c r="D544">
        <v>0</v>
      </c>
      <c r="E544">
        <v>2050</v>
      </c>
      <c r="F544" t="s">
        <v>42</v>
      </c>
      <c r="G544">
        <v>54196.87456091999</v>
      </c>
      <c r="H544">
        <v>54196.874560919998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152</v>
      </c>
      <c r="B545" t="s">
        <v>29</v>
      </c>
      <c r="C545" t="s">
        <v>85</v>
      </c>
      <c r="D545">
        <v>0</v>
      </c>
      <c r="E545">
        <v>2050</v>
      </c>
      <c r="F545" t="s">
        <v>42</v>
      </c>
      <c r="G545">
        <v>423800.91696487792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178931.40021486589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</row>
    <row r="546" spans="1:26" x14ac:dyDescent="0.25">
      <c r="A546" t="s">
        <v>152</v>
      </c>
      <c r="B546" t="s">
        <v>51</v>
      </c>
      <c r="C546" t="s">
        <v>76</v>
      </c>
      <c r="D546">
        <v>1</v>
      </c>
      <c r="E546">
        <v>2050</v>
      </c>
      <c r="F546" t="s">
        <v>42</v>
      </c>
      <c r="G546">
        <v>724061.7183138876</v>
      </c>
      <c r="H546">
        <v>60329.611891042863</v>
      </c>
      <c r="I546">
        <v>72420.556657070294</v>
      </c>
      <c r="J546">
        <v>0</v>
      </c>
      <c r="K546">
        <v>73945.563406728863</v>
      </c>
      <c r="L546">
        <v>0</v>
      </c>
      <c r="M546">
        <v>221583.73273213021</v>
      </c>
      <c r="N546">
        <v>295782.25362691545</v>
      </c>
      <c r="O546">
        <v>0</v>
      </c>
      <c r="P546">
        <v>0</v>
      </c>
      <c r="Q546">
        <v>295529.29613885906</v>
      </c>
      <c r="R546">
        <v>0</v>
      </c>
      <c r="S546">
        <v>2.7165826530658381</v>
      </c>
      <c r="T546">
        <v>0.42633610364403157</v>
      </c>
      <c r="U546">
        <v>2.2902465494218065</v>
      </c>
      <c r="V546">
        <v>0</v>
      </c>
      <c r="W546">
        <v>251199.90171803019</v>
      </c>
      <c r="X546">
        <v>62853.728895719534</v>
      </c>
      <c r="Y546">
        <v>188346.17282231065</v>
      </c>
      <c r="Z546">
        <v>0</v>
      </c>
    </row>
    <row r="547" spans="1:26" x14ac:dyDescent="0.25">
      <c r="A547" t="s">
        <v>152</v>
      </c>
      <c r="B547" t="s">
        <v>55</v>
      </c>
      <c r="C547" t="s">
        <v>72</v>
      </c>
      <c r="D547">
        <v>1</v>
      </c>
      <c r="E547">
        <v>2050</v>
      </c>
      <c r="F547" t="s">
        <v>42</v>
      </c>
      <c r="G547">
        <v>457927.02496060182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457927.02496060182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8.1750142319727654</v>
      </c>
      <c r="T547">
        <v>0</v>
      </c>
      <c r="U547">
        <v>8.1750142319727654</v>
      </c>
      <c r="V547">
        <v>0</v>
      </c>
      <c r="W547">
        <v>137378.10748818054</v>
      </c>
      <c r="X547">
        <v>0</v>
      </c>
      <c r="Y547">
        <v>137378.10748818054</v>
      </c>
      <c r="Z547">
        <v>0</v>
      </c>
    </row>
    <row r="548" spans="1:26" x14ac:dyDescent="0.25">
      <c r="A548" t="s">
        <v>152</v>
      </c>
      <c r="B548" t="s">
        <v>62</v>
      </c>
      <c r="C548" t="s">
        <v>85</v>
      </c>
      <c r="D548">
        <v>0</v>
      </c>
      <c r="E548">
        <v>2050</v>
      </c>
      <c r="F548" t="s">
        <v>42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</row>
    <row r="549" spans="1:26" x14ac:dyDescent="0.25">
      <c r="A549" t="s">
        <v>152</v>
      </c>
      <c r="B549" t="s">
        <v>48</v>
      </c>
      <c r="C549" t="s">
        <v>72</v>
      </c>
      <c r="D549">
        <v>1</v>
      </c>
      <c r="E549">
        <v>2050</v>
      </c>
      <c r="F549" t="s">
        <v>42</v>
      </c>
      <c r="G549">
        <v>192226.88972045216</v>
      </c>
      <c r="H549">
        <v>0</v>
      </c>
      <c r="I549">
        <v>0</v>
      </c>
      <c r="J549">
        <v>0</v>
      </c>
      <c r="K549">
        <v>187208.07938927782</v>
      </c>
      <c r="L549">
        <v>0</v>
      </c>
      <c r="M549">
        <v>0</v>
      </c>
      <c r="N549">
        <v>0</v>
      </c>
      <c r="O549">
        <v>5018.8103311743471</v>
      </c>
      <c r="P549">
        <v>5018.8103311743471</v>
      </c>
      <c r="Q549">
        <v>187208.07938927782</v>
      </c>
      <c r="R549">
        <v>2.1747157610321501E-2</v>
      </c>
      <c r="S549">
        <v>0.71126456089777379</v>
      </c>
      <c r="T549">
        <v>0.68951740328745226</v>
      </c>
      <c r="U549">
        <v>2.1747157610321532E-2</v>
      </c>
      <c r="V549">
        <v>2107.9003390932257</v>
      </c>
      <c r="W549">
        <v>80735.293682589909</v>
      </c>
      <c r="X549">
        <v>78627.393343496675</v>
      </c>
      <c r="Y549">
        <v>2107.9003390932339</v>
      </c>
      <c r="Z549">
        <v>0</v>
      </c>
    </row>
    <row r="550" spans="1:26" x14ac:dyDescent="0.25">
      <c r="A550" t="s">
        <v>152</v>
      </c>
      <c r="B550" t="s">
        <v>77</v>
      </c>
      <c r="C550" t="s">
        <v>85</v>
      </c>
      <c r="D550">
        <v>0</v>
      </c>
      <c r="E550">
        <v>2050</v>
      </c>
      <c r="F550" t="s">
        <v>42</v>
      </c>
      <c r="G550">
        <v>178684.44279357907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178684.44279357907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152</v>
      </c>
      <c r="B551" t="s">
        <v>30</v>
      </c>
      <c r="C551" t="s">
        <v>85</v>
      </c>
      <c r="D551">
        <v>0</v>
      </c>
      <c r="E551">
        <v>2050</v>
      </c>
      <c r="F551" t="s">
        <v>42</v>
      </c>
      <c r="G551">
        <v>438058.46895699552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326082.96129744226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152</v>
      </c>
      <c r="B552" t="s">
        <v>28</v>
      </c>
      <c r="C552" t="s">
        <v>76</v>
      </c>
      <c r="D552">
        <v>1</v>
      </c>
      <c r="E552">
        <v>2050</v>
      </c>
      <c r="F552" t="s">
        <v>42</v>
      </c>
      <c r="G552">
        <v>1379412.1812576482</v>
      </c>
      <c r="H552">
        <v>509603.65797187964</v>
      </c>
      <c r="I552">
        <v>0</v>
      </c>
      <c r="J552">
        <v>268249.01834925939</v>
      </c>
      <c r="K552">
        <v>0</v>
      </c>
      <c r="L552">
        <v>0</v>
      </c>
      <c r="M552">
        <v>0</v>
      </c>
      <c r="N552">
        <v>0</v>
      </c>
      <c r="O552">
        <v>601559.50493650907</v>
      </c>
      <c r="P552">
        <v>53173.36434778315</v>
      </c>
      <c r="Q552">
        <v>0</v>
      </c>
      <c r="R552">
        <v>0.18211132862014864</v>
      </c>
      <c r="S552">
        <v>0.18211132862014864</v>
      </c>
      <c r="T552">
        <v>0</v>
      </c>
      <c r="U552">
        <v>0.18211132862014864</v>
      </c>
      <c r="V552">
        <v>16483.742947812778</v>
      </c>
      <c r="W552">
        <v>16483.742947812778</v>
      </c>
      <c r="X552">
        <v>0</v>
      </c>
      <c r="Y552">
        <v>16483.742947812778</v>
      </c>
      <c r="Z552">
        <v>0</v>
      </c>
    </row>
    <row r="553" spans="1:26" x14ac:dyDescent="0.25">
      <c r="A553" t="s">
        <v>152</v>
      </c>
      <c r="B553" t="s">
        <v>68</v>
      </c>
      <c r="C553" t="s">
        <v>85</v>
      </c>
      <c r="D553">
        <v>0</v>
      </c>
      <c r="E553">
        <v>2050</v>
      </c>
      <c r="F553" t="s">
        <v>42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480099.00473882409</v>
      </c>
      <c r="M553">
        <v>0</v>
      </c>
      <c r="N553">
        <v>0</v>
      </c>
      <c r="O553">
        <v>-480099.00473882409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152</v>
      </c>
      <c r="B554" t="s">
        <v>44</v>
      </c>
      <c r="C554" t="s">
        <v>73</v>
      </c>
      <c r="D554">
        <v>1</v>
      </c>
      <c r="E554">
        <v>2050</v>
      </c>
      <c r="F554" t="s">
        <v>42</v>
      </c>
      <c r="G554">
        <v>633609.48471274355</v>
      </c>
      <c r="H554">
        <v>0</v>
      </c>
      <c r="I554">
        <v>0</v>
      </c>
      <c r="J554">
        <v>0</v>
      </c>
      <c r="K554">
        <v>475207.11353455763</v>
      </c>
      <c r="L554">
        <v>158402.37117818589</v>
      </c>
      <c r="M554">
        <v>0</v>
      </c>
      <c r="N554">
        <v>0</v>
      </c>
      <c r="O554">
        <v>0</v>
      </c>
      <c r="P554">
        <v>0</v>
      </c>
      <c r="Q554">
        <v>475207.11353455763</v>
      </c>
      <c r="R554">
        <v>0</v>
      </c>
      <c r="S554">
        <v>0.24054508880005776</v>
      </c>
      <c r="T554">
        <v>0.24054508880005776</v>
      </c>
      <c r="U554">
        <v>0</v>
      </c>
      <c r="V554">
        <v>0</v>
      </c>
      <c r="W554">
        <v>36115.740628626379</v>
      </c>
      <c r="X554">
        <v>36115.740628626379</v>
      </c>
      <c r="Y554">
        <v>0</v>
      </c>
      <c r="Z554">
        <v>0</v>
      </c>
    </row>
    <row r="555" spans="1:26" x14ac:dyDescent="0.25">
      <c r="A555" t="s">
        <v>152</v>
      </c>
      <c r="B555" t="s">
        <v>58</v>
      </c>
      <c r="C555" t="s">
        <v>85</v>
      </c>
      <c r="D555">
        <v>0</v>
      </c>
      <c r="E555">
        <v>2050</v>
      </c>
      <c r="F555" t="s">
        <v>42</v>
      </c>
      <c r="G555">
        <v>79149.327154368118</v>
      </c>
      <c r="H555">
        <v>119008.04970833447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-39858.722553966349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152</v>
      </c>
      <c r="B556" t="s">
        <v>53</v>
      </c>
      <c r="C556" t="s">
        <v>75</v>
      </c>
      <c r="D556">
        <v>1</v>
      </c>
      <c r="E556">
        <v>2050</v>
      </c>
      <c r="F556" t="s">
        <v>42</v>
      </c>
      <c r="G556">
        <v>1231842.8546521782</v>
      </c>
      <c r="H556">
        <v>497666.99331928522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734175.86133289302</v>
      </c>
      <c r="P556">
        <v>170733.88008982001</v>
      </c>
      <c r="Q556">
        <v>0</v>
      </c>
      <c r="R556">
        <v>0.61293462952245392</v>
      </c>
      <c r="S556">
        <v>0.61293462952245392</v>
      </c>
      <c r="T556">
        <v>0</v>
      </c>
      <c r="U556">
        <v>0.61293462952245392</v>
      </c>
      <c r="V556">
        <v>51220.164026946004</v>
      </c>
      <c r="W556">
        <v>51220.164026946004</v>
      </c>
      <c r="X556">
        <v>0</v>
      </c>
      <c r="Y556">
        <v>51220.164026946004</v>
      </c>
      <c r="Z556">
        <v>0</v>
      </c>
    </row>
    <row r="557" spans="1:26" x14ac:dyDescent="0.25">
      <c r="A557" t="s">
        <v>152</v>
      </c>
      <c r="B557" t="s">
        <v>37</v>
      </c>
      <c r="C557" t="s">
        <v>85</v>
      </c>
      <c r="D557">
        <v>0</v>
      </c>
      <c r="E557">
        <v>2050</v>
      </c>
      <c r="F557" t="s">
        <v>42</v>
      </c>
      <c r="G557">
        <v>152717.12375065815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-275496.90554082021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152</v>
      </c>
      <c r="B558" t="s">
        <v>34</v>
      </c>
      <c r="C558" t="s">
        <v>78</v>
      </c>
      <c r="D558">
        <v>1</v>
      </c>
      <c r="E558">
        <v>2050</v>
      </c>
      <c r="F558" t="s">
        <v>42</v>
      </c>
      <c r="G558">
        <v>69865.048763892031</v>
      </c>
      <c r="H558">
        <v>20327.523873776598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49537.524890115434</v>
      </c>
      <c r="P558">
        <v>49537.524890115434</v>
      </c>
      <c r="Q558">
        <v>0</v>
      </c>
      <c r="R558">
        <v>4.4459928588878608E-2</v>
      </c>
      <c r="S558">
        <v>4.4459928588878608E-2</v>
      </c>
      <c r="T558">
        <v>0</v>
      </c>
      <c r="U558">
        <v>4.4459928588878608E-2</v>
      </c>
      <c r="V558">
        <v>7430.6287335173147</v>
      </c>
      <c r="W558">
        <v>7430.6287335173147</v>
      </c>
      <c r="X558">
        <v>0</v>
      </c>
      <c r="Y558">
        <v>7430.6287335173147</v>
      </c>
      <c r="Z558">
        <v>0</v>
      </c>
    </row>
    <row r="559" spans="1:26" x14ac:dyDescent="0.25">
      <c r="A559" t="s">
        <v>152</v>
      </c>
      <c r="B559" t="s">
        <v>32</v>
      </c>
      <c r="C559" t="s">
        <v>85</v>
      </c>
      <c r="D559">
        <v>0</v>
      </c>
      <c r="E559">
        <v>2050</v>
      </c>
      <c r="F559" t="s">
        <v>42</v>
      </c>
      <c r="G559">
        <v>5113.8944826069655</v>
      </c>
      <c r="H559">
        <v>0</v>
      </c>
      <c r="I559">
        <v>0</v>
      </c>
      <c r="J559">
        <v>32647.628233222706</v>
      </c>
      <c r="K559">
        <v>0</v>
      </c>
      <c r="L559">
        <v>0</v>
      </c>
      <c r="M559">
        <v>0</v>
      </c>
      <c r="N559">
        <v>0</v>
      </c>
      <c r="O559">
        <v>-27533.733750615742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 x14ac:dyDescent="0.25">
      <c r="A560" t="s">
        <v>152</v>
      </c>
      <c r="B560" t="s">
        <v>79</v>
      </c>
      <c r="C560" t="s">
        <v>85</v>
      </c>
      <c r="D560">
        <v>0</v>
      </c>
      <c r="E560">
        <v>2050</v>
      </c>
      <c r="F560" t="s">
        <v>42</v>
      </c>
      <c r="G560">
        <v>392535.85875250591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392535.85875250591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152</v>
      </c>
      <c r="B561" t="s">
        <v>64</v>
      </c>
      <c r="C561" t="s">
        <v>80</v>
      </c>
      <c r="D561">
        <v>1</v>
      </c>
      <c r="E561">
        <v>2050</v>
      </c>
      <c r="F561" t="s">
        <v>42</v>
      </c>
      <c r="G561">
        <v>33518.053912383963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33518.053912383963</v>
      </c>
      <c r="N561">
        <v>0</v>
      </c>
      <c r="O561">
        <v>0</v>
      </c>
      <c r="P561">
        <v>0</v>
      </c>
      <c r="Q561">
        <v>33518.053912383963</v>
      </c>
      <c r="R561">
        <v>0</v>
      </c>
      <c r="S561">
        <v>0.61673219198786478</v>
      </c>
      <c r="T561">
        <v>0</v>
      </c>
      <c r="U561">
        <v>0.61673219198786478</v>
      </c>
      <c r="V561">
        <v>0</v>
      </c>
      <c r="W561">
        <v>13909.992373639345</v>
      </c>
      <c r="X561">
        <v>0</v>
      </c>
      <c r="Y561">
        <v>13909.992373639345</v>
      </c>
      <c r="Z561">
        <v>0</v>
      </c>
    </row>
    <row r="562" spans="1:26" x14ac:dyDescent="0.25">
      <c r="A562" t="s">
        <v>152</v>
      </c>
      <c r="B562" t="s">
        <v>137</v>
      </c>
      <c r="C562" t="s">
        <v>139</v>
      </c>
      <c r="D562">
        <v>1</v>
      </c>
      <c r="E562">
        <v>2050</v>
      </c>
      <c r="F562" t="s">
        <v>42</v>
      </c>
      <c r="G562">
        <v>165638.06203107268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165638.06203107268</v>
      </c>
      <c r="N562">
        <v>0</v>
      </c>
      <c r="O562">
        <v>0</v>
      </c>
      <c r="P562">
        <v>0</v>
      </c>
      <c r="Q562">
        <v>165638.06203107268</v>
      </c>
      <c r="R562">
        <v>0</v>
      </c>
      <c r="S562">
        <v>1.4843536616013124</v>
      </c>
      <c r="T562">
        <v>0</v>
      </c>
      <c r="U562">
        <v>1.4843536616013124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152</v>
      </c>
      <c r="B563" t="s">
        <v>138</v>
      </c>
      <c r="C563" t="s">
        <v>139</v>
      </c>
      <c r="D563">
        <v>1</v>
      </c>
      <c r="E563">
        <v>2050</v>
      </c>
      <c r="F563" t="s">
        <v>42</v>
      </c>
      <c r="G563">
        <v>41409.51550776817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41409.51550776817</v>
      </c>
      <c r="N563">
        <v>0</v>
      </c>
      <c r="O563">
        <v>0</v>
      </c>
      <c r="P563">
        <v>0</v>
      </c>
      <c r="Q563">
        <v>41409.51550776817</v>
      </c>
      <c r="R563">
        <v>0</v>
      </c>
      <c r="S563">
        <v>1.3776354244927214</v>
      </c>
      <c r="T563">
        <v>0</v>
      </c>
      <c r="U563">
        <v>1.3776354244927214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152</v>
      </c>
      <c r="B564" t="s">
        <v>81</v>
      </c>
      <c r="C564" t="s">
        <v>85</v>
      </c>
      <c r="D564">
        <v>0</v>
      </c>
      <c r="E564">
        <v>2050</v>
      </c>
      <c r="F564" t="s">
        <v>42</v>
      </c>
      <c r="G564">
        <v>237811.74451797566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237811.74451797566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152</v>
      </c>
      <c r="B565" t="s">
        <v>71</v>
      </c>
      <c r="C565" t="s">
        <v>85</v>
      </c>
      <c r="D565">
        <v>0</v>
      </c>
      <c r="E565">
        <v>2050</v>
      </c>
      <c r="F565" t="s">
        <v>42</v>
      </c>
      <c r="G565">
        <v>134885.97681729178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134885.97681729178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152</v>
      </c>
      <c r="B566" t="s">
        <v>57</v>
      </c>
      <c r="C566" t="s">
        <v>85</v>
      </c>
      <c r="D566">
        <v>0</v>
      </c>
      <c r="E566">
        <v>2050</v>
      </c>
      <c r="F566" t="s">
        <v>42</v>
      </c>
      <c r="G566">
        <v>67442.988408645891</v>
      </c>
      <c r="H566">
        <v>22739.161062984149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44703.827345661746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152</v>
      </c>
      <c r="B567" t="s">
        <v>63</v>
      </c>
      <c r="C567" t="s">
        <v>63</v>
      </c>
      <c r="D567">
        <v>1</v>
      </c>
      <c r="E567">
        <v>2050</v>
      </c>
      <c r="F567" t="s">
        <v>42</v>
      </c>
      <c r="G567">
        <v>43163.512581533374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43163.512581533374</v>
      </c>
      <c r="N567">
        <v>0</v>
      </c>
      <c r="O567">
        <v>0</v>
      </c>
      <c r="P567">
        <v>0</v>
      </c>
      <c r="Q567">
        <v>43163.512581533374</v>
      </c>
      <c r="R567">
        <v>0</v>
      </c>
      <c r="S567">
        <v>1.5107229403536679</v>
      </c>
      <c r="T567">
        <v>0</v>
      </c>
      <c r="U567">
        <v>1.5107229403536679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152</v>
      </c>
      <c r="B568" t="s">
        <v>54</v>
      </c>
      <c r="C568" t="s">
        <v>75</v>
      </c>
      <c r="D568">
        <v>1</v>
      </c>
      <c r="E568">
        <v>2050</v>
      </c>
      <c r="F568" t="s">
        <v>42</v>
      </c>
      <c r="G568">
        <v>1530924.1752034186</v>
      </c>
      <c r="H568">
        <v>639899.9324082589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891024.24279515969</v>
      </c>
      <c r="P568">
        <v>15707.87807983777</v>
      </c>
      <c r="Q568">
        <v>0</v>
      </c>
      <c r="R568">
        <v>4.2631809423802902E-2</v>
      </c>
      <c r="S568">
        <v>4.2631809423802902E-2</v>
      </c>
      <c r="T568">
        <v>0</v>
      </c>
      <c r="U568">
        <v>4.2631809423802902E-2</v>
      </c>
      <c r="V568">
        <v>3141.5756159675543</v>
      </c>
      <c r="W568">
        <v>3141.5756159675543</v>
      </c>
      <c r="X568">
        <v>0</v>
      </c>
      <c r="Y568">
        <v>3141.5756159675543</v>
      </c>
      <c r="Z568">
        <v>0</v>
      </c>
    </row>
    <row r="569" spans="1:26" x14ac:dyDescent="0.25">
      <c r="A569" t="s">
        <v>152</v>
      </c>
      <c r="B569" t="s">
        <v>82</v>
      </c>
      <c r="C569" t="s">
        <v>85</v>
      </c>
      <c r="D569">
        <v>0</v>
      </c>
      <c r="E569">
        <v>2050</v>
      </c>
      <c r="F569" t="s">
        <v>42</v>
      </c>
      <c r="G569">
        <v>15326.485637496542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15326.485637496542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152</v>
      </c>
      <c r="B570" t="s">
        <v>61</v>
      </c>
      <c r="C570" t="s">
        <v>85</v>
      </c>
      <c r="D570">
        <v>0</v>
      </c>
      <c r="E570">
        <v>2050</v>
      </c>
      <c r="F570" t="s">
        <v>42</v>
      </c>
      <c r="G570">
        <v>12450.041648107726</v>
      </c>
      <c r="H570">
        <v>4168.9903508399993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8281.0512972677279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152</v>
      </c>
      <c r="B571" t="s">
        <v>46</v>
      </c>
      <c r="C571" t="s">
        <v>72</v>
      </c>
      <c r="D571">
        <v>1</v>
      </c>
      <c r="E571">
        <v>2050</v>
      </c>
      <c r="F571" t="s">
        <v>42</v>
      </c>
      <c r="G571">
        <v>3497733.5088609215</v>
      </c>
      <c r="H571">
        <v>0</v>
      </c>
      <c r="I571">
        <v>0</v>
      </c>
      <c r="J571">
        <v>0</v>
      </c>
      <c r="K571">
        <v>2623300.1316456911</v>
      </c>
      <c r="L571">
        <v>0</v>
      </c>
      <c r="M571">
        <v>0</v>
      </c>
      <c r="N571">
        <v>0</v>
      </c>
      <c r="O571">
        <v>874433.37721523037</v>
      </c>
      <c r="P571">
        <v>874433.37721523037</v>
      </c>
      <c r="Q571">
        <v>2623300.1316456911</v>
      </c>
      <c r="R571">
        <v>0.43635099956417217</v>
      </c>
      <c r="S571">
        <v>1.7454039982566887</v>
      </c>
      <c r="T571">
        <v>1.3090529986925166</v>
      </c>
      <c r="U571">
        <v>0.43635099956417212</v>
      </c>
      <c r="V571">
        <v>52466.00263291382</v>
      </c>
      <c r="W571">
        <v>209864.01053165528</v>
      </c>
      <c r="X571">
        <v>157398.00789874146</v>
      </c>
      <c r="Y571">
        <v>52466.00263291382</v>
      </c>
      <c r="Z571">
        <v>0</v>
      </c>
    </row>
    <row r="572" spans="1:26" x14ac:dyDescent="0.25">
      <c r="A572" t="s">
        <v>152</v>
      </c>
      <c r="B572" t="s">
        <v>43</v>
      </c>
      <c r="C572" t="s">
        <v>73</v>
      </c>
      <c r="D572">
        <v>1</v>
      </c>
      <c r="E572">
        <v>2050</v>
      </c>
      <c r="F572" t="s">
        <v>42</v>
      </c>
      <c r="G572">
        <v>1463838.2091460889</v>
      </c>
      <c r="H572">
        <v>0</v>
      </c>
      <c r="I572">
        <v>0</v>
      </c>
      <c r="J572">
        <v>0</v>
      </c>
      <c r="K572">
        <v>1097878.6568595667</v>
      </c>
      <c r="L572">
        <v>365959.55228652223</v>
      </c>
      <c r="M572">
        <v>0</v>
      </c>
      <c r="N572">
        <v>0</v>
      </c>
      <c r="O572">
        <v>0</v>
      </c>
      <c r="P572">
        <v>0</v>
      </c>
      <c r="Q572">
        <v>1097878.6568595667</v>
      </c>
      <c r="R572">
        <v>0</v>
      </c>
      <c r="S572">
        <v>0.47296612537510141</v>
      </c>
      <c r="T572">
        <v>0.47296612537510141</v>
      </c>
      <c r="U572">
        <v>0</v>
      </c>
      <c r="V572">
        <v>0</v>
      </c>
      <c r="W572">
        <v>54893.932842978335</v>
      </c>
      <c r="X572">
        <v>54893.932842978335</v>
      </c>
      <c r="Y572">
        <v>0</v>
      </c>
      <c r="Z572">
        <v>0</v>
      </c>
    </row>
    <row r="573" spans="1:26" x14ac:dyDescent="0.25">
      <c r="A573" t="s">
        <v>152</v>
      </c>
      <c r="B573" t="s">
        <v>31</v>
      </c>
      <c r="C573" t="s">
        <v>85</v>
      </c>
      <c r="D573">
        <v>0</v>
      </c>
      <c r="E573">
        <v>2050</v>
      </c>
      <c r="F573" t="s">
        <v>42</v>
      </c>
      <c r="G573">
        <v>135928.79691373621</v>
      </c>
      <c r="H573">
        <v>0</v>
      </c>
      <c r="I573">
        <v>0</v>
      </c>
      <c r="J573">
        <v>66284.578534118831</v>
      </c>
      <c r="K573">
        <v>0</v>
      </c>
      <c r="L573">
        <v>0</v>
      </c>
      <c r="M573">
        <v>0</v>
      </c>
      <c r="N573">
        <v>0</v>
      </c>
      <c r="O573">
        <v>69644.218379617378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152</v>
      </c>
      <c r="B574" t="s">
        <v>35</v>
      </c>
      <c r="C574" t="s">
        <v>78</v>
      </c>
      <c r="D574">
        <v>1</v>
      </c>
      <c r="E574">
        <v>2050</v>
      </c>
      <c r="F574" t="s">
        <v>42</v>
      </c>
      <c r="G574">
        <v>36000</v>
      </c>
      <c r="H574">
        <v>8429.9437241249998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27570.056275875002</v>
      </c>
      <c r="P574">
        <v>27570.056275875002</v>
      </c>
      <c r="Q574">
        <v>0</v>
      </c>
      <c r="R574">
        <v>2.4744125507597817E-2</v>
      </c>
      <c r="S574">
        <v>2.4744125507597817E-2</v>
      </c>
      <c r="T574">
        <v>0</v>
      </c>
      <c r="U574">
        <v>2.4744125507597817E-2</v>
      </c>
      <c r="V574">
        <v>4135.5084413812501</v>
      </c>
      <c r="W574">
        <v>4135.5084413812501</v>
      </c>
      <c r="X574">
        <v>0</v>
      </c>
      <c r="Y574">
        <v>4135.5084413812501</v>
      </c>
      <c r="Z574">
        <v>0</v>
      </c>
    </row>
    <row r="575" spans="1:26" x14ac:dyDescent="0.25">
      <c r="A575" t="s">
        <v>152</v>
      </c>
      <c r="B575" t="s">
        <v>83</v>
      </c>
      <c r="C575" t="s">
        <v>85</v>
      </c>
      <c r="D575">
        <v>1</v>
      </c>
      <c r="E575">
        <v>2050</v>
      </c>
      <c r="F575" t="s">
        <v>42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152</v>
      </c>
      <c r="B576" t="s">
        <v>65</v>
      </c>
      <c r="C576" t="s">
        <v>80</v>
      </c>
      <c r="D576">
        <v>1</v>
      </c>
      <c r="E576">
        <v>2050</v>
      </c>
      <c r="F576" t="s">
        <v>42</v>
      </c>
      <c r="G576">
        <v>669963.43113752501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669963.43113752501</v>
      </c>
      <c r="N576">
        <v>0</v>
      </c>
      <c r="O576">
        <v>0</v>
      </c>
      <c r="P576">
        <v>0</v>
      </c>
      <c r="Q576">
        <v>669963.43113752501</v>
      </c>
      <c r="R576">
        <v>0</v>
      </c>
      <c r="S576">
        <v>9.7101611501915599</v>
      </c>
      <c r="T576">
        <v>0</v>
      </c>
      <c r="U576">
        <v>9.7101611501915599</v>
      </c>
      <c r="V576">
        <v>0</v>
      </c>
      <c r="W576">
        <v>331352.74698343425</v>
      </c>
      <c r="X576">
        <v>0</v>
      </c>
      <c r="Y576">
        <v>331352.74698343425</v>
      </c>
      <c r="Z576">
        <v>0</v>
      </c>
    </row>
    <row r="577" spans="1:26" x14ac:dyDescent="0.25">
      <c r="A577" t="s">
        <v>152</v>
      </c>
      <c r="B577" t="s">
        <v>84</v>
      </c>
      <c r="C577" t="s">
        <v>85</v>
      </c>
      <c r="D577">
        <v>0</v>
      </c>
      <c r="E577">
        <v>2050</v>
      </c>
      <c r="F577" t="s">
        <v>42</v>
      </c>
      <c r="G577">
        <v>195875.95930080733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195875.95930080733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121"/>
  <sheetViews>
    <sheetView topLeftCell="A43" workbookViewId="0">
      <selection activeCell="B62" sqref="B62:G121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90</v>
      </c>
      <c r="E1" t="s">
        <v>91</v>
      </c>
      <c r="F1" t="s">
        <v>92</v>
      </c>
      <c r="G1" t="s">
        <v>94</v>
      </c>
    </row>
    <row r="2" spans="1:7" x14ac:dyDescent="0.25">
      <c r="A2" t="s">
        <v>151</v>
      </c>
      <c r="B2" t="s">
        <v>27</v>
      </c>
      <c r="C2">
        <v>2019</v>
      </c>
      <c r="D2">
        <v>12077371.923325727</v>
      </c>
      <c r="E2" t="s">
        <v>103</v>
      </c>
      <c r="F2" t="s">
        <v>103</v>
      </c>
    </row>
    <row r="3" spans="1:7" x14ac:dyDescent="0.25">
      <c r="A3" t="s">
        <v>151</v>
      </c>
      <c r="B3" t="s">
        <v>27</v>
      </c>
      <c r="C3">
        <v>2019</v>
      </c>
      <c r="D3">
        <v>5070835.3540045777</v>
      </c>
      <c r="E3" t="s">
        <v>104</v>
      </c>
      <c r="F3" t="s">
        <v>105</v>
      </c>
    </row>
    <row r="4" spans="1:7" x14ac:dyDescent="0.25">
      <c r="A4" t="s">
        <v>151</v>
      </c>
      <c r="B4" t="s">
        <v>27</v>
      </c>
      <c r="C4">
        <v>2019</v>
      </c>
      <c r="D4">
        <v>4155736.1194644454</v>
      </c>
      <c r="E4" t="s">
        <v>104</v>
      </c>
      <c r="F4" t="s">
        <v>106</v>
      </c>
      <c r="G4" t="s">
        <v>107</v>
      </c>
    </row>
    <row r="5" spans="1:7" x14ac:dyDescent="0.25">
      <c r="A5" t="s">
        <v>151</v>
      </c>
      <c r="B5" t="s">
        <v>27</v>
      </c>
      <c r="C5">
        <v>2019</v>
      </c>
      <c r="D5">
        <v>1324670.350202495</v>
      </c>
      <c r="E5" t="s">
        <v>104</v>
      </c>
      <c r="F5" t="s">
        <v>106</v>
      </c>
      <c r="G5" t="s">
        <v>108</v>
      </c>
    </row>
    <row r="6" spans="1:7" x14ac:dyDescent="0.25">
      <c r="A6" t="s">
        <v>151</v>
      </c>
      <c r="B6" t="s">
        <v>27</v>
      </c>
      <c r="C6">
        <v>2019</v>
      </c>
      <c r="D6">
        <v>2581596.1188411801</v>
      </c>
      <c r="E6" t="s">
        <v>104</v>
      </c>
      <c r="F6" t="s">
        <v>106</v>
      </c>
      <c r="G6" t="s">
        <v>109</v>
      </c>
    </row>
    <row r="7" spans="1:7" x14ac:dyDescent="0.25">
      <c r="A7" t="s">
        <v>151</v>
      </c>
      <c r="B7" t="s">
        <v>27</v>
      </c>
      <c r="C7">
        <v>2019</v>
      </c>
      <c r="D7">
        <v>-158.24317477886137</v>
      </c>
      <c r="E7" t="s">
        <v>110</v>
      </c>
      <c r="F7" t="s">
        <v>110</v>
      </c>
    </row>
    <row r="8" spans="1:7" x14ac:dyDescent="0.25">
      <c r="A8" t="s">
        <v>151</v>
      </c>
      <c r="B8" t="s">
        <v>27</v>
      </c>
      <c r="C8">
        <v>2019</v>
      </c>
      <c r="D8">
        <v>-434670</v>
      </c>
      <c r="E8" t="s">
        <v>111</v>
      </c>
      <c r="F8" t="s">
        <v>111</v>
      </c>
    </row>
    <row r="9" spans="1:7" x14ac:dyDescent="0.25">
      <c r="A9" t="s">
        <v>151</v>
      </c>
      <c r="B9" t="s">
        <v>27</v>
      </c>
      <c r="C9">
        <v>2019</v>
      </c>
      <c r="D9">
        <v>-468707.41035023518</v>
      </c>
      <c r="E9" t="s">
        <v>142</v>
      </c>
      <c r="F9" t="s">
        <v>143</v>
      </c>
    </row>
    <row r="10" spans="1:7" x14ac:dyDescent="0.25">
      <c r="A10" t="s">
        <v>151</v>
      </c>
      <c r="B10" t="s">
        <v>27</v>
      </c>
      <c r="C10">
        <v>2019</v>
      </c>
      <c r="D10">
        <v>-151930.36566196129</v>
      </c>
      <c r="E10" t="s">
        <v>133</v>
      </c>
      <c r="F10" t="s">
        <v>133</v>
      </c>
    </row>
    <row r="11" spans="1:7" x14ac:dyDescent="0.25">
      <c r="A11" t="s">
        <v>151</v>
      </c>
      <c r="B11" t="s">
        <v>27</v>
      </c>
      <c r="C11">
        <v>2019</v>
      </c>
      <c r="D11">
        <v>0</v>
      </c>
      <c r="E11" t="s">
        <v>136</v>
      </c>
      <c r="F11" t="s">
        <v>136</v>
      </c>
    </row>
    <row r="12" spans="1:7" x14ac:dyDescent="0.25">
      <c r="A12" t="s">
        <v>151</v>
      </c>
      <c r="B12" t="s">
        <v>27</v>
      </c>
      <c r="C12">
        <v>2030</v>
      </c>
      <c r="D12">
        <v>5321579.4158507036</v>
      </c>
      <c r="E12" t="s">
        <v>103</v>
      </c>
      <c r="F12" t="s">
        <v>103</v>
      </c>
      <c r="G12" t="s">
        <v>85</v>
      </c>
    </row>
    <row r="13" spans="1:7" x14ac:dyDescent="0.25">
      <c r="A13" t="s">
        <v>151</v>
      </c>
      <c r="B13" t="s">
        <v>27</v>
      </c>
      <c r="C13">
        <v>2030</v>
      </c>
      <c r="D13">
        <v>5058223.5325662289</v>
      </c>
      <c r="E13" t="s">
        <v>104</v>
      </c>
      <c r="F13" t="s">
        <v>105</v>
      </c>
      <c r="G13" t="s">
        <v>85</v>
      </c>
    </row>
    <row r="14" spans="1:7" x14ac:dyDescent="0.25">
      <c r="A14" t="s">
        <v>151</v>
      </c>
      <c r="B14" t="s">
        <v>27</v>
      </c>
      <c r="C14">
        <v>2030</v>
      </c>
      <c r="D14">
        <v>3841374.8261340531</v>
      </c>
      <c r="E14" t="s">
        <v>104</v>
      </c>
      <c r="F14" t="s">
        <v>106</v>
      </c>
      <c r="G14" t="s">
        <v>107</v>
      </c>
    </row>
    <row r="15" spans="1:7" x14ac:dyDescent="0.25">
      <c r="A15" t="s">
        <v>151</v>
      </c>
      <c r="B15" t="s">
        <v>27</v>
      </c>
      <c r="C15">
        <v>2030</v>
      </c>
      <c r="D15">
        <v>1037756.4163185137</v>
      </c>
      <c r="E15" t="s">
        <v>104</v>
      </c>
      <c r="F15" t="s">
        <v>106</v>
      </c>
      <c r="G15" t="s">
        <v>108</v>
      </c>
    </row>
    <row r="16" spans="1:7" x14ac:dyDescent="0.25">
      <c r="A16" t="s">
        <v>151</v>
      </c>
      <c r="B16" t="s">
        <v>27</v>
      </c>
      <c r="C16">
        <v>2030</v>
      </c>
      <c r="D16">
        <v>0</v>
      </c>
      <c r="E16" t="s">
        <v>104</v>
      </c>
      <c r="F16" t="s">
        <v>106</v>
      </c>
      <c r="G16" t="s">
        <v>109</v>
      </c>
    </row>
    <row r="17" spans="1:7" x14ac:dyDescent="0.25">
      <c r="A17" t="s">
        <v>151</v>
      </c>
      <c r="B17" t="s">
        <v>27</v>
      </c>
      <c r="C17">
        <v>2030</v>
      </c>
      <c r="D17">
        <v>-37462.493699251529</v>
      </c>
      <c r="E17" t="s">
        <v>110</v>
      </c>
      <c r="F17" t="s">
        <v>110</v>
      </c>
      <c r="G17" t="s">
        <v>85</v>
      </c>
    </row>
    <row r="18" spans="1:7" x14ac:dyDescent="0.25">
      <c r="A18" t="s">
        <v>151</v>
      </c>
      <c r="B18" t="s">
        <v>27</v>
      </c>
      <c r="C18">
        <v>2030</v>
      </c>
      <c r="D18">
        <v>-2482718.9515556083</v>
      </c>
      <c r="E18" t="s">
        <v>111</v>
      </c>
      <c r="F18" t="s">
        <v>111</v>
      </c>
      <c r="G18" t="s">
        <v>85</v>
      </c>
    </row>
    <row r="19" spans="1:7" x14ac:dyDescent="0.25">
      <c r="A19" t="s">
        <v>151</v>
      </c>
      <c r="B19" t="s">
        <v>27</v>
      </c>
      <c r="C19">
        <v>2030</v>
      </c>
      <c r="D19">
        <v>-511031.3111868602</v>
      </c>
      <c r="E19" t="s">
        <v>142</v>
      </c>
      <c r="F19" t="s">
        <v>143</v>
      </c>
    </row>
    <row r="20" spans="1:7" x14ac:dyDescent="0.25">
      <c r="A20" t="s">
        <v>151</v>
      </c>
      <c r="B20" t="s">
        <v>27</v>
      </c>
      <c r="C20">
        <v>2030</v>
      </c>
      <c r="D20">
        <v>-430442.57059981115</v>
      </c>
      <c r="E20" t="s">
        <v>133</v>
      </c>
      <c r="F20" t="s">
        <v>133</v>
      </c>
      <c r="G20" t="s">
        <v>85</v>
      </c>
    </row>
    <row r="21" spans="1:7" x14ac:dyDescent="0.25">
      <c r="A21" t="s">
        <v>151</v>
      </c>
      <c r="B21" t="s">
        <v>27</v>
      </c>
      <c r="C21">
        <v>2030</v>
      </c>
      <c r="D21">
        <v>-1154120.0321265599</v>
      </c>
      <c r="E21" t="s">
        <v>136</v>
      </c>
      <c r="F21" t="s">
        <v>136</v>
      </c>
      <c r="G21" t="s">
        <v>85</v>
      </c>
    </row>
    <row r="22" spans="1:7" x14ac:dyDescent="0.25">
      <c r="A22" t="s">
        <v>151</v>
      </c>
      <c r="B22" t="s">
        <v>27</v>
      </c>
      <c r="C22">
        <v>2050</v>
      </c>
      <c r="D22">
        <v>-11560.354491511825</v>
      </c>
      <c r="E22" t="s">
        <v>103</v>
      </c>
      <c r="F22" t="s">
        <v>103</v>
      </c>
      <c r="G22" t="s">
        <v>85</v>
      </c>
    </row>
    <row r="23" spans="1:7" x14ac:dyDescent="0.25">
      <c r="A23" t="s">
        <v>151</v>
      </c>
      <c r="B23" t="s">
        <v>27</v>
      </c>
      <c r="C23">
        <v>2050</v>
      </c>
      <c r="D23">
        <v>5037270.6270728866</v>
      </c>
      <c r="E23" t="s">
        <v>104</v>
      </c>
      <c r="F23" t="s">
        <v>105</v>
      </c>
      <c r="G23" t="s">
        <v>85</v>
      </c>
    </row>
    <row r="24" spans="1:7" x14ac:dyDescent="0.25">
      <c r="A24" t="s">
        <v>151</v>
      </c>
      <c r="B24" t="s">
        <v>27</v>
      </c>
      <c r="C24">
        <v>2050</v>
      </c>
      <c r="D24">
        <v>3301394.9606297142</v>
      </c>
      <c r="E24" t="s">
        <v>104</v>
      </c>
      <c r="F24" t="s">
        <v>106</v>
      </c>
      <c r="G24" t="s">
        <v>107</v>
      </c>
    </row>
    <row r="25" spans="1:7" x14ac:dyDescent="0.25">
      <c r="A25" t="s">
        <v>151</v>
      </c>
      <c r="B25" t="s">
        <v>27</v>
      </c>
      <c r="C25">
        <v>2050</v>
      </c>
      <c r="D25">
        <v>0</v>
      </c>
      <c r="E25" t="s">
        <v>104</v>
      </c>
      <c r="F25" t="s">
        <v>106</v>
      </c>
      <c r="G25" t="s">
        <v>108</v>
      </c>
    </row>
    <row r="26" spans="1:7" x14ac:dyDescent="0.25">
      <c r="A26" t="s">
        <v>151</v>
      </c>
      <c r="B26" t="s">
        <v>27</v>
      </c>
      <c r="C26">
        <v>2050</v>
      </c>
      <c r="D26">
        <v>0</v>
      </c>
      <c r="E26" t="s">
        <v>104</v>
      </c>
      <c r="F26" t="s">
        <v>106</v>
      </c>
      <c r="G26" t="s">
        <v>109</v>
      </c>
    </row>
    <row r="27" spans="1:7" x14ac:dyDescent="0.25">
      <c r="A27" t="s">
        <v>151</v>
      </c>
      <c r="B27" t="s">
        <v>27</v>
      </c>
      <c r="C27">
        <v>2050</v>
      </c>
      <c r="D27">
        <v>-37462.493699251529</v>
      </c>
      <c r="E27" t="s">
        <v>110</v>
      </c>
      <c r="F27" t="s">
        <v>110</v>
      </c>
      <c r="G27" t="s">
        <v>85</v>
      </c>
    </row>
    <row r="28" spans="1:7" x14ac:dyDescent="0.25">
      <c r="A28" t="s">
        <v>151</v>
      </c>
      <c r="B28" t="s">
        <v>27</v>
      </c>
      <c r="C28">
        <v>2050</v>
      </c>
      <c r="D28">
        <v>-4763985.5653391453</v>
      </c>
      <c r="E28" t="s">
        <v>111</v>
      </c>
      <c r="F28" t="s">
        <v>111</v>
      </c>
      <c r="G28" t="s">
        <v>85</v>
      </c>
    </row>
    <row r="29" spans="1:7" x14ac:dyDescent="0.25">
      <c r="A29" t="s">
        <v>151</v>
      </c>
      <c r="B29" t="s">
        <v>27</v>
      </c>
      <c r="C29">
        <v>2050</v>
      </c>
      <c r="D29">
        <v>-1841651.2297566161</v>
      </c>
      <c r="E29" t="s">
        <v>142</v>
      </c>
      <c r="F29" t="s">
        <v>143</v>
      </c>
    </row>
    <row r="30" spans="1:7" x14ac:dyDescent="0.25">
      <c r="A30" t="s">
        <v>151</v>
      </c>
      <c r="B30" t="s">
        <v>27</v>
      </c>
      <c r="C30">
        <v>2050</v>
      </c>
      <c r="D30">
        <v>-502600.52422498411</v>
      </c>
      <c r="E30" t="s">
        <v>133</v>
      </c>
      <c r="F30" t="s">
        <v>133</v>
      </c>
      <c r="G30" t="s">
        <v>85</v>
      </c>
    </row>
    <row r="31" spans="1:7" x14ac:dyDescent="0.25">
      <c r="A31" t="s">
        <v>151</v>
      </c>
      <c r="B31" t="s">
        <v>27</v>
      </c>
      <c r="C31">
        <v>2050</v>
      </c>
      <c r="D31">
        <v>-1204526.1291741156</v>
      </c>
      <c r="E31" t="s">
        <v>136</v>
      </c>
      <c r="F31" t="s">
        <v>136</v>
      </c>
      <c r="G31" t="s">
        <v>85</v>
      </c>
    </row>
    <row r="32" spans="1:7" x14ac:dyDescent="0.25">
      <c r="A32" t="s">
        <v>151</v>
      </c>
      <c r="B32" t="s">
        <v>42</v>
      </c>
      <c r="C32">
        <v>2019</v>
      </c>
      <c r="D32">
        <v>1834190.1949518428</v>
      </c>
      <c r="E32" t="s">
        <v>103</v>
      </c>
      <c r="F32" t="s">
        <v>103</v>
      </c>
      <c r="G32" t="s">
        <v>85</v>
      </c>
    </row>
    <row r="33" spans="1:7" x14ac:dyDescent="0.25">
      <c r="A33" t="s">
        <v>151</v>
      </c>
      <c r="B33" t="s">
        <v>42</v>
      </c>
      <c r="C33">
        <v>2019</v>
      </c>
      <c r="D33">
        <v>448426.54673213884</v>
      </c>
      <c r="E33" t="s">
        <v>104</v>
      </c>
      <c r="F33" t="s">
        <v>105</v>
      </c>
      <c r="G33" t="s">
        <v>85</v>
      </c>
    </row>
    <row r="34" spans="1:7" x14ac:dyDescent="0.25">
      <c r="A34" t="s">
        <v>151</v>
      </c>
      <c r="B34" t="s">
        <v>42</v>
      </c>
      <c r="C34">
        <v>2019</v>
      </c>
      <c r="D34">
        <v>1244619.4009225217</v>
      </c>
      <c r="E34" t="s">
        <v>104</v>
      </c>
      <c r="F34" t="s">
        <v>106</v>
      </c>
      <c r="G34" t="s">
        <v>107</v>
      </c>
    </row>
    <row r="35" spans="1:7" x14ac:dyDescent="0.25">
      <c r="A35" t="s">
        <v>151</v>
      </c>
      <c r="B35" t="s">
        <v>42</v>
      </c>
      <c r="C35">
        <v>2019</v>
      </c>
      <c r="D35">
        <v>142699.41800214813</v>
      </c>
      <c r="E35" t="s">
        <v>104</v>
      </c>
      <c r="F35" t="s">
        <v>106</v>
      </c>
      <c r="G35" t="s">
        <v>108</v>
      </c>
    </row>
    <row r="36" spans="1:7" x14ac:dyDescent="0.25">
      <c r="A36" t="s">
        <v>151</v>
      </c>
      <c r="B36" t="s">
        <v>42</v>
      </c>
      <c r="C36">
        <v>2019</v>
      </c>
      <c r="D36">
        <v>276144.78230139322</v>
      </c>
      <c r="E36" t="s">
        <v>104</v>
      </c>
      <c r="F36" t="s">
        <v>106</v>
      </c>
      <c r="G36" t="s">
        <v>109</v>
      </c>
    </row>
    <row r="37" spans="1:7" x14ac:dyDescent="0.25">
      <c r="A37" t="s">
        <v>151</v>
      </c>
      <c r="B37" t="s">
        <v>42</v>
      </c>
      <c r="C37">
        <v>2019</v>
      </c>
      <c r="D37">
        <v>-0.19402522113858015</v>
      </c>
      <c r="E37" t="s">
        <v>110</v>
      </c>
      <c r="F37" t="s">
        <v>110</v>
      </c>
      <c r="G37" t="s">
        <v>85</v>
      </c>
    </row>
    <row r="38" spans="1:7" x14ac:dyDescent="0.25">
      <c r="A38" t="s">
        <v>151</v>
      </c>
      <c r="B38" t="s">
        <v>42</v>
      </c>
      <c r="C38">
        <v>2019</v>
      </c>
      <c r="D38">
        <v>-127230</v>
      </c>
      <c r="E38" t="s">
        <v>111</v>
      </c>
      <c r="F38" t="s">
        <v>111</v>
      </c>
      <c r="G38" t="s">
        <v>85</v>
      </c>
    </row>
    <row r="39" spans="1:7" x14ac:dyDescent="0.25">
      <c r="A39" t="s">
        <v>151</v>
      </c>
      <c r="B39" t="s">
        <v>42</v>
      </c>
      <c r="C39">
        <v>2019</v>
      </c>
      <c r="D39">
        <v>-137192.91374803972</v>
      </c>
      <c r="E39" t="s">
        <v>142</v>
      </c>
      <c r="F39" t="s">
        <v>143</v>
      </c>
    </row>
    <row r="40" spans="1:7" x14ac:dyDescent="0.25">
      <c r="A40" t="s">
        <v>151</v>
      </c>
      <c r="B40" t="s">
        <v>42</v>
      </c>
      <c r="C40">
        <v>2019</v>
      </c>
      <c r="D40">
        <v>-13276.84523309844</v>
      </c>
      <c r="E40" t="s">
        <v>133</v>
      </c>
      <c r="F40" t="s">
        <v>133</v>
      </c>
      <c r="G40" t="s">
        <v>85</v>
      </c>
    </row>
    <row r="41" spans="1:7" x14ac:dyDescent="0.25">
      <c r="A41" t="s">
        <v>151</v>
      </c>
      <c r="B41" t="s">
        <v>42</v>
      </c>
      <c r="C41">
        <v>2019</v>
      </c>
      <c r="D41">
        <v>0</v>
      </c>
      <c r="E41" t="s">
        <v>136</v>
      </c>
      <c r="F41" t="s">
        <v>136</v>
      </c>
      <c r="G41" t="s">
        <v>85</v>
      </c>
    </row>
    <row r="42" spans="1:7" x14ac:dyDescent="0.25">
      <c r="A42" t="s">
        <v>151</v>
      </c>
      <c r="B42" t="s">
        <v>42</v>
      </c>
      <c r="C42">
        <v>2030</v>
      </c>
      <c r="D42">
        <v>735647.4517139066</v>
      </c>
      <c r="E42" t="s">
        <v>103</v>
      </c>
      <c r="F42" t="s">
        <v>103</v>
      </c>
      <c r="G42" t="s">
        <v>85</v>
      </c>
    </row>
    <row r="43" spans="1:7" x14ac:dyDescent="0.25">
      <c r="A43" t="s">
        <v>151</v>
      </c>
      <c r="B43" t="s">
        <v>42</v>
      </c>
      <c r="C43">
        <v>2030</v>
      </c>
      <c r="D43">
        <v>449093.3493058047</v>
      </c>
      <c r="E43" t="s">
        <v>104</v>
      </c>
      <c r="F43" t="s">
        <v>105</v>
      </c>
      <c r="G43" t="s">
        <v>85</v>
      </c>
    </row>
    <row r="44" spans="1:7" x14ac:dyDescent="0.25">
      <c r="A44" t="s">
        <v>151</v>
      </c>
      <c r="B44" t="s">
        <v>42</v>
      </c>
      <c r="C44">
        <v>2030</v>
      </c>
      <c r="D44">
        <v>1210363.8044579043</v>
      </c>
      <c r="E44" t="s">
        <v>104</v>
      </c>
      <c r="F44" t="s">
        <v>106</v>
      </c>
      <c r="G44" t="s">
        <v>107</v>
      </c>
    </row>
    <row r="45" spans="1:7" x14ac:dyDescent="0.25">
      <c r="A45" t="s">
        <v>151</v>
      </c>
      <c r="B45" t="s">
        <v>42</v>
      </c>
      <c r="C45">
        <v>2030</v>
      </c>
      <c r="D45">
        <v>111849.51929049424</v>
      </c>
      <c r="E45" t="s">
        <v>104</v>
      </c>
      <c r="F45" t="s">
        <v>106</v>
      </c>
      <c r="G45" t="s">
        <v>108</v>
      </c>
    </row>
    <row r="46" spans="1:7" x14ac:dyDescent="0.25">
      <c r="A46" t="s">
        <v>151</v>
      </c>
      <c r="B46" t="s">
        <v>42</v>
      </c>
      <c r="C46">
        <v>2030</v>
      </c>
      <c r="D46">
        <v>0</v>
      </c>
      <c r="E46" t="s">
        <v>104</v>
      </c>
      <c r="F46" t="s">
        <v>106</v>
      </c>
      <c r="G46" t="s">
        <v>109</v>
      </c>
    </row>
    <row r="47" spans="1:7" x14ac:dyDescent="0.25">
      <c r="A47" t="s">
        <v>151</v>
      </c>
      <c r="B47" t="s">
        <v>42</v>
      </c>
      <c r="C47">
        <v>2030</v>
      </c>
      <c r="D47">
        <v>-12810.937899750508</v>
      </c>
      <c r="E47" t="s">
        <v>110</v>
      </c>
      <c r="F47" t="s">
        <v>110</v>
      </c>
      <c r="G47" t="s">
        <v>85</v>
      </c>
    </row>
    <row r="48" spans="1:7" x14ac:dyDescent="0.25">
      <c r="A48" t="s">
        <v>151</v>
      </c>
      <c r="B48" t="s">
        <v>42</v>
      </c>
      <c r="C48">
        <v>2030</v>
      </c>
      <c r="D48">
        <v>-430475.25401940179</v>
      </c>
      <c r="E48" t="s">
        <v>111</v>
      </c>
      <c r="F48" t="s">
        <v>111</v>
      </c>
      <c r="G48" t="s">
        <v>85</v>
      </c>
    </row>
    <row r="49" spans="1:7" x14ac:dyDescent="0.25">
      <c r="A49" t="s">
        <v>151</v>
      </c>
      <c r="B49" t="s">
        <v>42</v>
      </c>
      <c r="C49">
        <v>2030</v>
      </c>
      <c r="D49">
        <v>-138876.64934755175</v>
      </c>
      <c r="E49" t="s">
        <v>142</v>
      </c>
      <c r="F49" t="s">
        <v>143</v>
      </c>
    </row>
    <row r="50" spans="1:7" x14ac:dyDescent="0.25">
      <c r="A50" t="s">
        <v>151</v>
      </c>
      <c r="B50" t="s">
        <v>42</v>
      </c>
      <c r="C50">
        <v>2030</v>
      </c>
      <c r="D50">
        <v>-41216.412200152758</v>
      </c>
      <c r="E50" t="s">
        <v>133</v>
      </c>
      <c r="F50" t="s">
        <v>133</v>
      </c>
      <c r="G50" t="s">
        <v>85</v>
      </c>
    </row>
    <row r="51" spans="1:7" x14ac:dyDescent="0.25">
      <c r="A51" t="s">
        <v>151</v>
      </c>
      <c r="B51" t="s">
        <v>42</v>
      </c>
      <c r="C51">
        <v>2030</v>
      </c>
      <c r="D51">
        <v>-412279.96787343966</v>
      </c>
      <c r="E51" t="s">
        <v>136</v>
      </c>
      <c r="F51" t="s">
        <v>136</v>
      </c>
      <c r="G51" t="s">
        <v>85</v>
      </c>
    </row>
    <row r="52" spans="1:7" x14ac:dyDescent="0.25">
      <c r="A52" t="s">
        <v>151</v>
      </c>
      <c r="B52" t="s">
        <v>42</v>
      </c>
      <c r="C52">
        <v>2050</v>
      </c>
      <c r="D52">
        <v>-117984.92007570557</v>
      </c>
      <c r="E52" t="s">
        <v>103</v>
      </c>
      <c r="F52" t="s">
        <v>103</v>
      </c>
      <c r="G52" t="s">
        <v>85</v>
      </c>
    </row>
    <row r="53" spans="1:7" x14ac:dyDescent="0.25">
      <c r="A53" t="s">
        <v>151</v>
      </c>
      <c r="B53" t="s">
        <v>42</v>
      </c>
      <c r="C53">
        <v>2050</v>
      </c>
      <c r="D53">
        <v>447960.28277222451</v>
      </c>
      <c r="E53" t="s">
        <v>104</v>
      </c>
      <c r="F53" t="s">
        <v>105</v>
      </c>
      <c r="G53" t="s">
        <v>85</v>
      </c>
    </row>
    <row r="54" spans="1:7" x14ac:dyDescent="0.25">
      <c r="A54" t="s">
        <v>151</v>
      </c>
      <c r="B54" t="s">
        <v>42</v>
      </c>
      <c r="C54">
        <v>2050</v>
      </c>
      <c r="D54">
        <v>1159506.7498013563</v>
      </c>
      <c r="E54" t="s">
        <v>104</v>
      </c>
      <c r="F54" t="s">
        <v>106</v>
      </c>
      <c r="G54" t="s">
        <v>107</v>
      </c>
    </row>
    <row r="55" spans="1:7" x14ac:dyDescent="0.25">
      <c r="A55" t="s">
        <v>151</v>
      </c>
      <c r="B55" t="s">
        <v>42</v>
      </c>
      <c r="C55">
        <v>2050</v>
      </c>
      <c r="D55">
        <v>0</v>
      </c>
      <c r="E55" t="s">
        <v>104</v>
      </c>
      <c r="F55" t="s">
        <v>106</v>
      </c>
      <c r="G55" t="s">
        <v>108</v>
      </c>
    </row>
    <row r="56" spans="1:7" x14ac:dyDescent="0.25">
      <c r="A56" t="s">
        <v>151</v>
      </c>
      <c r="B56" t="s">
        <v>42</v>
      </c>
      <c r="C56">
        <v>2050</v>
      </c>
      <c r="D56">
        <v>0</v>
      </c>
      <c r="E56" t="s">
        <v>104</v>
      </c>
      <c r="F56" t="s">
        <v>106</v>
      </c>
      <c r="G56" t="s">
        <v>109</v>
      </c>
    </row>
    <row r="57" spans="1:7" x14ac:dyDescent="0.25">
      <c r="A57" t="s">
        <v>151</v>
      </c>
      <c r="B57" t="s">
        <v>42</v>
      </c>
      <c r="C57">
        <v>2050</v>
      </c>
      <c r="D57">
        <v>-12810.937899750508</v>
      </c>
      <c r="E57" t="s">
        <v>110</v>
      </c>
      <c r="F57" t="s">
        <v>110</v>
      </c>
      <c r="G57" t="s">
        <v>85</v>
      </c>
    </row>
    <row r="58" spans="1:7" x14ac:dyDescent="0.25">
      <c r="A58" t="s">
        <v>151</v>
      </c>
      <c r="B58" t="s">
        <v>42</v>
      </c>
      <c r="C58">
        <v>2050</v>
      </c>
      <c r="D58">
        <v>-833122.14777838718</v>
      </c>
      <c r="E58" t="s">
        <v>111</v>
      </c>
      <c r="F58" t="s">
        <v>111</v>
      </c>
      <c r="G58" t="s">
        <v>85</v>
      </c>
    </row>
    <row r="59" spans="1:7" x14ac:dyDescent="0.25">
      <c r="A59" t="s">
        <v>151</v>
      </c>
      <c r="B59" t="s">
        <v>42</v>
      </c>
      <c r="C59">
        <v>2050</v>
      </c>
      <c r="D59">
        <v>-339185.42245292122</v>
      </c>
      <c r="E59" t="s">
        <v>142</v>
      </c>
      <c r="F59" t="s">
        <v>143</v>
      </c>
    </row>
    <row r="60" spans="1:7" x14ac:dyDescent="0.25">
      <c r="A60" t="s">
        <v>151</v>
      </c>
      <c r="B60" t="s">
        <v>42</v>
      </c>
      <c r="C60">
        <v>2050</v>
      </c>
      <c r="D60">
        <v>-47926.24035900968</v>
      </c>
      <c r="E60" t="s">
        <v>133</v>
      </c>
      <c r="F60" t="s">
        <v>133</v>
      </c>
      <c r="G60" t="s">
        <v>85</v>
      </c>
    </row>
    <row r="61" spans="1:7" x14ac:dyDescent="0.25">
      <c r="A61" t="s">
        <v>151</v>
      </c>
      <c r="B61" t="s">
        <v>42</v>
      </c>
      <c r="C61">
        <v>2050</v>
      </c>
      <c r="D61">
        <v>-492407.20415921742</v>
      </c>
      <c r="E61" t="s">
        <v>136</v>
      </c>
      <c r="F61" t="s">
        <v>136</v>
      </c>
      <c r="G61" t="s">
        <v>85</v>
      </c>
    </row>
    <row r="62" spans="1:7" x14ac:dyDescent="0.25">
      <c r="A62" t="s">
        <v>152</v>
      </c>
      <c r="B62" t="s">
        <v>27</v>
      </c>
      <c r="C62">
        <v>2019</v>
      </c>
      <c r="D62">
        <v>12077371.923325727</v>
      </c>
      <c r="E62" t="s">
        <v>103</v>
      </c>
      <c r="F62" t="s">
        <v>103</v>
      </c>
    </row>
    <row r="63" spans="1:7" x14ac:dyDescent="0.25">
      <c r="A63" t="s">
        <v>152</v>
      </c>
      <c r="B63" t="s">
        <v>27</v>
      </c>
      <c r="C63">
        <v>2019</v>
      </c>
      <c r="D63">
        <v>5070835.3540045777</v>
      </c>
      <c r="E63" t="s">
        <v>104</v>
      </c>
      <c r="F63" t="s">
        <v>105</v>
      </c>
    </row>
    <row r="64" spans="1:7" x14ac:dyDescent="0.25">
      <c r="A64" t="s">
        <v>152</v>
      </c>
      <c r="B64" t="s">
        <v>27</v>
      </c>
      <c r="C64">
        <v>2019</v>
      </c>
      <c r="D64">
        <v>4155736.1194644454</v>
      </c>
      <c r="E64" t="s">
        <v>104</v>
      </c>
      <c r="F64" t="s">
        <v>106</v>
      </c>
      <c r="G64" t="s">
        <v>107</v>
      </c>
    </row>
    <row r="65" spans="1:7" x14ac:dyDescent="0.25">
      <c r="A65" t="s">
        <v>152</v>
      </c>
      <c r="B65" t="s">
        <v>27</v>
      </c>
      <c r="C65">
        <v>2019</v>
      </c>
      <c r="D65">
        <v>1324670.350202495</v>
      </c>
      <c r="E65" t="s">
        <v>104</v>
      </c>
      <c r="F65" t="s">
        <v>106</v>
      </c>
      <c r="G65" t="s">
        <v>108</v>
      </c>
    </row>
    <row r="66" spans="1:7" x14ac:dyDescent="0.25">
      <c r="A66" t="s">
        <v>152</v>
      </c>
      <c r="B66" t="s">
        <v>27</v>
      </c>
      <c r="C66">
        <v>2019</v>
      </c>
      <c r="D66">
        <v>2581596.1188411801</v>
      </c>
      <c r="E66" t="s">
        <v>104</v>
      </c>
      <c r="F66" t="s">
        <v>106</v>
      </c>
      <c r="G66" t="s">
        <v>109</v>
      </c>
    </row>
    <row r="67" spans="1:7" x14ac:dyDescent="0.25">
      <c r="A67" t="s">
        <v>152</v>
      </c>
      <c r="B67" t="s">
        <v>27</v>
      </c>
      <c r="C67">
        <v>2019</v>
      </c>
      <c r="D67">
        <v>-158.24317477886137</v>
      </c>
      <c r="E67" t="s">
        <v>110</v>
      </c>
      <c r="F67" t="s">
        <v>110</v>
      </c>
    </row>
    <row r="68" spans="1:7" x14ac:dyDescent="0.25">
      <c r="A68" t="s">
        <v>152</v>
      </c>
      <c r="B68" t="s">
        <v>27</v>
      </c>
      <c r="C68">
        <v>2019</v>
      </c>
      <c r="D68">
        <v>-434670</v>
      </c>
      <c r="E68" t="s">
        <v>111</v>
      </c>
      <c r="F68" t="s">
        <v>111</v>
      </c>
    </row>
    <row r="69" spans="1:7" x14ac:dyDescent="0.25">
      <c r="A69" t="s">
        <v>152</v>
      </c>
      <c r="B69" t="s">
        <v>27</v>
      </c>
      <c r="C69">
        <v>2019</v>
      </c>
      <c r="D69">
        <v>-468707.41035023518</v>
      </c>
      <c r="E69" t="s">
        <v>142</v>
      </c>
      <c r="F69" t="s">
        <v>143</v>
      </c>
    </row>
    <row r="70" spans="1:7" x14ac:dyDescent="0.25">
      <c r="A70" t="s">
        <v>152</v>
      </c>
      <c r="B70" t="s">
        <v>27</v>
      </c>
      <c r="C70">
        <v>2019</v>
      </c>
      <c r="D70">
        <v>-151930.36566196129</v>
      </c>
      <c r="E70" t="s">
        <v>133</v>
      </c>
      <c r="F70" t="s">
        <v>133</v>
      </c>
    </row>
    <row r="71" spans="1:7" x14ac:dyDescent="0.25">
      <c r="A71" t="s">
        <v>152</v>
      </c>
      <c r="B71" t="s">
        <v>27</v>
      </c>
      <c r="C71">
        <v>2019</v>
      </c>
      <c r="D71">
        <v>0</v>
      </c>
      <c r="E71" t="s">
        <v>136</v>
      </c>
      <c r="F71" t="s">
        <v>136</v>
      </c>
    </row>
    <row r="72" spans="1:7" x14ac:dyDescent="0.25">
      <c r="A72" t="s">
        <v>152</v>
      </c>
      <c r="B72" t="s">
        <v>27</v>
      </c>
      <c r="C72">
        <v>2030</v>
      </c>
      <c r="D72">
        <v>5089424.2263781261</v>
      </c>
      <c r="E72" t="s">
        <v>103</v>
      </c>
      <c r="F72" t="s">
        <v>103</v>
      </c>
      <c r="G72" t="s">
        <v>85</v>
      </c>
    </row>
    <row r="73" spans="1:7" x14ac:dyDescent="0.25">
      <c r="A73" t="s">
        <v>152</v>
      </c>
      <c r="B73" t="s">
        <v>27</v>
      </c>
      <c r="C73">
        <v>2030</v>
      </c>
      <c r="D73">
        <v>4301804.4346257793</v>
      </c>
      <c r="E73" t="s">
        <v>104</v>
      </c>
      <c r="F73" t="s">
        <v>105</v>
      </c>
      <c r="G73" t="s">
        <v>85</v>
      </c>
    </row>
    <row r="74" spans="1:7" x14ac:dyDescent="0.25">
      <c r="A74" t="s">
        <v>152</v>
      </c>
      <c r="B74" t="s">
        <v>27</v>
      </c>
      <c r="C74">
        <v>2030</v>
      </c>
      <c r="D74">
        <v>3748398.865971148</v>
      </c>
      <c r="E74" t="s">
        <v>104</v>
      </c>
      <c r="F74" t="s">
        <v>106</v>
      </c>
      <c r="G74" t="s">
        <v>107</v>
      </c>
    </row>
    <row r="75" spans="1:7" x14ac:dyDescent="0.25">
      <c r="A75" t="s">
        <v>152</v>
      </c>
      <c r="B75" t="s">
        <v>27</v>
      </c>
      <c r="C75">
        <v>2030</v>
      </c>
      <c r="D75">
        <v>1037756.4163185137</v>
      </c>
      <c r="E75" t="s">
        <v>104</v>
      </c>
      <c r="F75" t="s">
        <v>106</v>
      </c>
      <c r="G75" t="s">
        <v>108</v>
      </c>
    </row>
    <row r="76" spans="1:7" x14ac:dyDescent="0.25">
      <c r="A76" t="s">
        <v>152</v>
      </c>
      <c r="B76" t="s">
        <v>27</v>
      </c>
      <c r="C76">
        <v>2030</v>
      </c>
      <c r="D76">
        <v>0</v>
      </c>
      <c r="E76" t="s">
        <v>104</v>
      </c>
      <c r="F76" t="s">
        <v>106</v>
      </c>
      <c r="G76" t="s">
        <v>109</v>
      </c>
    </row>
    <row r="77" spans="1:7" x14ac:dyDescent="0.25">
      <c r="A77" t="s">
        <v>152</v>
      </c>
      <c r="B77" t="s">
        <v>27</v>
      </c>
      <c r="C77">
        <v>2030</v>
      </c>
      <c r="D77">
        <v>-37462.493699251529</v>
      </c>
      <c r="E77" t="s">
        <v>110</v>
      </c>
      <c r="F77" t="s">
        <v>110</v>
      </c>
      <c r="G77" t="s">
        <v>85</v>
      </c>
    </row>
    <row r="78" spans="1:7" x14ac:dyDescent="0.25">
      <c r="A78" t="s">
        <v>152</v>
      </c>
      <c r="B78" t="s">
        <v>27</v>
      </c>
      <c r="C78">
        <v>2030</v>
      </c>
      <c r="D78">
        <v>-2945461.8525867751</v>
      </c>
      <c r="E78" t="s">
        <v>111</v>
      </c>
      <c r="F78" t="s">
        <v>111</v>
      </c>
      <c r="G78" t="s">
        <v>85</v>
      </c>
    </row>
    <row r="79" spans="1:7" x14ac:dyDescent="0.25">
      <c r="A79" t="s">
        <v>152</v>
      </c>
      <c r="B79" t="s">
        <v>27</v>
      </c>
      <c r="C79">
        <v>2030</v>
      </c>
      <c r="D79">
        <v>-534769.38723904639</v>
      </c>
      <c r="E79" t="s">
        <v>142</v>
      </c>
      <c r="F79" t="s">
        <v>143</v>
      </c>
    </row>
    <row r="80" spans="1:7" x14ac:dyDescent="0.25">
      <c r="A80" t="s">
        <v>152</v>
      </c>
      <c r="B80" t="s">
        <v>27</v>
      </c>
      <c r="C80">
        <v>2030</v>
      </c>
      <c r="D80">
        <v>-243917.45667322632</v>
      </c>
      <c r="E80" t="s">
        <v>133</v>
      </c>
      <c r="F80" t="s">
        <v>133</v>
      </c>
      <c r="G80" t="s">
        <v>85</v>
      </c>
    </row>
    <row r="81" spans="1:7" x14ac:dyDescent="0.25">
      <c r="A81" t="s">
        <v>152</v>
      </c>
      <c r="B81" t="s">
        <v>27</v>
      </c>
      <c r="C81">
        <v>2030</v>
      </c>
      <c r="D81">
        <v>-236924.30033901587</v>
      </c>
      <c r="E81" t="s">
        <v>136</v>
      </c>
      <c r="F81" t="s">
        <v>136</v>
      </c>
      <c r="G81" t="s">
        <v>85</v>
      </c>
    </row>
    <row r="82" spans="1:7" x14ac:dyDescent="0.25">
      <c r="A82" t="s">
        <v>152</v>
      </c>
      <c r="B82" t="s">
        <v>27</v>
      </c>
      <c r="C82">
        <v>2050</v>
      </c>
      <c r="D82">
        <v>-64259.785232260474</v>
      </c>
      <c r="E82" t="s">
        <v>103</v>
      </c>
      <c r="F82" t="s">
        <v>103</v>
      </c>
      <c r="G82" t="s">
        <v>85</v>
      </c>
    </row>
    <row r="83" spans="1:7" x14ac:dyDescent="0.25">
      <c r="A83" t="s">
        <v>152</v>
      </c>
      <c r="B83" t="s">
        <v>27</v>
      </c>
      <c r="C83">
        <v>2050</v>
      </c>
      <c r="D83">
        <v>3530736.5199818327</v>
      </c>
      <c r="E83" t="s">
        <v>104</v>
      </c>
      <c r="F83" t="s">
        <v>105</v>
      </c>
      <c r="G83" t="s">
        <v>85</v>
      </c>
    </row>
    <row r="84" spans="1:7" x14ac:dyDescent="0.25">
      <c r="A84" t="s">
        <v>152</v>
      </c>
      <c r="B84" t="s">
        <v>27</v>
      </c>
      <c r="C84">
        <v>2050</v>
      </c>
      <c r="D84">
        <v>3302382.6557571762</v>
      </c>
      <c r="E84" t="s">
        <v>104</v>
      </c>
      <c r="F84" t="s">
        <v>106</v>
      </c>
      <c r="G84" t="s">
        <v>107</v>
      </c>
    </row>
    <row r="85" spans="1:7" x14ac:dyDescent="0.25">
      <c r="A85" t="s">
        <v>152</v>
      </c>
      <c r="B85" t="s">
        <v>27</v>
      </c>
      <c r="C85">
        <v>2050</v>
      </c>
      <c r="D85">
        <v>0</v>
      </c>
      <c r="E85" t="s">
        <v>104</v>
      </c>
      <c r="F85" t="s">
        <v>106</v>
      </c>
      <c r="G85" t="s">
        <v>108</v>
      </c>
    </row>
    <row r="86" spans="1:7" x14ac:dyDescent="0.25">
      <c r="A86" t="s">
        <v>152</v>
      </c>
      <c r="B86" t="s">
        <v>27</v>
      </c>
      <c r="C86">
        <v>2050</v>
      </c>
      <c r="D86">
        <v>0</v>
      </c>
      <c r="E86" t="s">
        <v>104</v>
      </c>
      <c r="F86" t="s">
        <v>106</v>
      </c>
      <c r="G86" t="s">
        <v>109</v>
      </c>
    </row>
    <row r="87" spans="1:7" x14ac:dyDescent="0.25">
      <c r="A87" t="s">
        <v>152</v>
      </c>
      <c r="B87" t="s">
        <v>27</v>
      </c>
      <c r="C87">
        <v>2050</v>
      </c>
      <c r="D87">
        <v>-37462.493699251529</v>
      </c>
      <c r="E87" t="s">
        <v>110</v>
      </c>
      <c r="F87" t="s">
        <v>110</v>
      </c>
      <c r="G87" t="s">
        <v>85</v>
      </c>
    </row>
    <row r="88" spans="1:7" x14ac:dyDescent="0.25">
      <c r="A88" t="s">
        <v>152</v>
      </c>
      <c r="B88" t="s">
        <v>27</v>
      </c>
      <c r="C88">
        <v>2050</v>
      </c>
      <c r="D88">
        <v>-4190978.0756080463</v>
      </c>
      <c r="E88" t="s">
        <v>111</v>
      </c>
      <c r="F88" t="s">
        <v>111</v>
      </c>
      <c r="G88" t="s">
        <v>85</v>
      </c>
    </row>
    <row r="89" spans="1:7" x14ac:dyDescent="0.25">
      <c r="A89" t="s">
        <v>152</v>
      </c>
      <c r="B89" t="s">
        <v>27</v>
      </c>
      <c r="C89">
        <v>2050</v>
      </c>
      <c r="D89">
        <v>-1916135.3033998974</v>
      </c>
      <c r="E89" t="s">
        <v>142</v>
      </c>
      <c r="F89" t="s">
        <v>143</v>
      </c>
    </row>
    <row r="90" spans="1:7" x14ac:dyDescent="0.25">
      <c r="A90" t="s">
        <v>152</v>
      </c>
      <c r="B90" t="s">
        <v>27</v>
      </c>
      <c r="C90">
        <v>2050</v>
      </c>
      <c r="D90">
        <v>-293183.63913124066</v>
      </c>
      <c r="E90" t="s">
        <v>133</v>
      </c>
      <c r="F90" t="s">
        <v>133</v>
      </c>
      <c r="G90" t="s">
        <v>85</v>
      </c>
    </row>
    <row r="91" spans="1:7" x14ac:dyDescent="0.25">
      <c r="A91" t="s">
        <v>152</v>
      </c>
      <c r="B91" t="s">
        <v>27</v>
      </c>
      <c r="C91">
        <v>2050</v>
      </c>
      <c r="D91">
        <v>-459619.44913283293</v>
      </c>
      <c r="E91" t="s">
        <v>136</v>
      </c>
      <c r="F91" t="s">
        <v>136</v>
      </c>
      <c r="G91" t="s">
        <v>85</v>
      </c>
    </row>
    <row r="92" spans="1:7" x14ac:dyDescent="0.25">
      <c r="A92" t="s">
        <v>152</v>
      </c>
      <c r="B92" t="s">
        <v>42</v>
      </c>
      <c r="C92">
        <v>2019</v>
      </c>
      <c r="D92">
        <v>1834190.1949518428</v>
      </c>
      <c r="E92" t="s">
        <v>103</v>
      </c>
      <c r="F92" t="s">
        <v>103</v>
      </c>
      <c r="G92" t="s">
        <v>85</v>
      </c>
    </row>
    <row r="93" spans="1:7" x14ac:dyDescent="0.25">
      <c r="A93" t="s">
        <v>152</v>
      </c>
      <c r="B93" t="s">
        <v>42</v>
      </c>
      <c r="C93">
        <v>2019</v>
      </c>
      <c r="D93">
        <v>448426.54673213884</v>
      </c>
      <c r="E93" t="s">
        <v>104</v>
      </c>
      <c r="F93" t="s">
        <v>105</v>
      </c>
      <c r="G93" t="s">
        <v>85</v>
      </c>
    </row>
    <row r="94" spans="1:7" x14ac:dyDescent="0.25">
      <c r="A94" t="s">
        <v>152</v>
      </c>
      <c r="B94" t="s">
        <v>42</v>
      </c>
      <c r="C94">
        <v>2019</v>
      </c>
      <c r="D94">
        <v>1244619.4009225217</v>
      </c>
      <c r="E94" t="s">
        <v>104</v>
      </c>
      <c r="F94" t="s">
        <v>106</v>
      </c>
      <c r="G94" t="s">
        <v>107</v>
      </c>
    </row>
    <row r="95" spans="1:7" x14ac:dyDescent="0.25">
      <c r="A95" t="s">
        <v>152</v>
      </c>
      <c r="B95" t="s">
        <v>42</v>
      </c>
      <c r="C95">
        <v>2019</v>
      </c>
      <c r="D95">
        <v>142699.41800214813</v>
      </c>
      <c r="E95" t="s">
        <v>104</v>
      </c>
      <c r="F95" t="s">
        <v>106</v>
      </c>
      <c r="G95" t="s">
        <v>108</v>
      </c>
    </row>
    <row r="96" spans="1:7" x14ac:dyDescent="0.25">
      <c r="A96" t="s">
        <v>152</v>
      </c>
      <c r="B96" t="s">
        <v>42</v>
      </c>
      <c r="C96">
        <v>2019</v>
      </c>
      <c r="D96">
        <v>276144.78230139322</v>
      </c>
      <c r="E96" t="s">
        <v>104</v>
      </c>
      <c r="F96" t="s">
        <v>106</v>
      </c>
      <c r="G96" t="s">
        <v>109</v>
      </c>
    </row>
    <row r="97" spans="1:7" x14ac:dyDescent="0.25">
      <c r="A97" t="s">
        <v>152</v>
      </c>
      <c r="B97" t="s">
        <v>42</v>
      </c>
      <c r="C97">
        <v>2019</v>
      </c>
      <c r="D97">
        <v>-0.19402522113858015</v>
      </c>
      <c r="E97" t="s">
        <v>110</v>
      </c>
      <c r="F97" t="s">
        <v>110</v>
      </c>
      <c r="G97" t="s">
        <v>85</v>
      </c>
    </row>
    <row r="98" spans="1:7" x14ac:dyDescent="0.25">
      <c r="A98" t="s">
        <v>152</v>
      </c>
      <c r="B98" t="s">
        <v>42</v>
      </c>
      <c r="C98">
        <v>2019</v>
      </c>
      <c r="D98">
        <v>-127230</v>
      </c>
      <c r="E98" t="s">
        <v>111</v>
      </c>
      <c r="F98" t="s">
        <v>111</v>
      </c>
      <c r="G98" t="s">
        <v>85</v>
      </c>
    </row>
    <row r="99" spans="1:7" x14ac:dyDescent="0.25">
      <c r="A99" t="s">
        <v>152</v>
      </c>
      <c r="B99" t="s">
        <v>42</v>
      </c>
      <c r="C99">
        <v>2019</v>
      </c>
      <c r="D99">
        <v>-137192.91374803972</v>
      </c>
      <c r="E99" t="s">
        <v>142</v>
      </c>
      <c r="F99" t="s">
        <v>143</v>
      </c>
    </row>
    <row r="100" spans="1:7" x14ac:dyDescent="0.25">
      <c r="A100" t="s">
        <v>152</v>
      </c>
      <c r="B100" t="s">
        <v>42</v>
      </c>
      <c r="C100">
        <v>2019</v>
      </c>
      <c r="D100">
        <v>-13276.84523309844</v>
      </c>
      <c r="E100" t="s">
        <v>133</v>
      </c>
      <c r="F100" t="s">
        <v>133</v>
      </c>
      <c r="G100" t="s">
        <v>85</v>
      </c>
    </row>
    <row r="101" spans="1:7" x14ac:dyDescent="0.25">
      <c r="A101" t="s">
        <v>152</v>
      </c>
      <c r="B101" t="s">
        <v>42</v>
      </c>
      <c r="C101">
        <v>2019</v>
      </c>
      <c r="D101">
        <v>0</v>
      </c>
      <c r="E101" t="s">
        <v>136</v>
      </c>
      <c r="F101" t="s">
        <v>136</v>
      </c>
      <c r="G101" t="s">
        <v>85</v>
      </c>
    </row>
    <row r="102" spans="1:7" x14ac:dyDescent="0.25">
      <c r="A102" t="s">
        <v>152</v>
      </c>
      <c r="B102" t="s">
        <v>42</v>
      </c>
      <c r="C102">
        <v>2030</v>
      </c>
      <c r="D102">
        <v>944128.19261381205</v>
      </c>
      <c r="E102" t="s">
        <v>103</v>
      </c>
      <c r="F102" t="s">
        <v>103</v>
      </c>
      <c r="G102" t="s">
        <v>85</v>
      </c>
    </row>
    <row r="103" spans="1:7" x14ac:dyDescent="0.25">
      <c r="A103" t="s">
        <v>152</v>
      </c>
      <c r="B103" t="s">
        <v>42</v>
      </c>
      <c r="C103">
        <v>2030</v>
      </c>
      <c r="D103">
        <v>381923.59632874915</v>
      </c>
      <c r="E103" t="s">
        <v>104</v>
      </c>
      <c r="F103" t="s">
        <v>105</v>
      </c>
      <c r="G103" t="s">
        <v>85</v>
      </c>
    </row>
    <row r="104" spans="1:7" x14ac:dyDescent="0.25">
      <c r="A104" t="s">
        <v>152</v>
      </c>
      <c r="B104" t="s">
        <v>42</v>
      </c>
      <c r="C104">
        <v>2030</v>
      </c>
      <c r="D104">
        <v>1197900.7479859595</v>
      </c>
      <c r="E104" t="s">
        <v>104</v>
      </c>
      <c r="F104" t="s">
        <v>106</v>
      </c>
      <c r="G104" t="s">
        <v>107</v>
      </c>
    </row>
    <row r="105" spans="1:7" x14ac:dyDescent="0.25">
      <c r="A105" t="s">
        <v>152</v>
      </c>
      <c r="B105" t="s">
        <v>42</v>
      </c>
      <c r="C105">
        <v>2030</v>
      </c>
      <c r="D105">
        <v>111849.51929049424</v>
      </c>
      <c r="E105" t="s">
        <v>104</v>
      </c>
      <c r="F105" t="s">
        <v>106</v>
      </c>
      <c r="G105" t="s">
        <v>108</v>
      </c>
    </row>
    <row r="106" spans="1:7" x14ac:dyDescent="0.25">
      <c r="A106" t="s">
        <v>152</v>
      </c>
      <c r="B106" t="s">
        <v>42</v>
      </c>
      <c r="C106">
        <v>2030</v>
      </c>
      <c r="D106">
        <v>0</v>
      </c>
      <c r="E106" t="s">
        <v>104</v>
      </c>
      <c r="F106" t="s">
        <v>106</v>
      </c>
      <c r="G106" t="s">
        <v>109</v>
      </c>
    </row>
    <row r="107" spans="1:7" x14ac:dyDescent="0.25">
      <c r="A107" t="s">
        <v>152</v>
      </c>
      <c r="B107" t="s">
        <v>42</v>
      </c>
      <c r="C107">
        <v>2030</v>
      </c>
      <c r="D107">
        <v>-12810.937899750508</v>
      </c>
      <c r="E107" t="s">
        <v>110</v>
      </c>
      <c r="F107" t="s">
        <v>110</v>
      </c>
      <c r="G107" t="s">
        <v>85</v>
      </c>
    </row>
    <row r="108" spans="1:7" x14ac:dyDescent="0.25">
      <c r="A108" t="s">
        <v>152</v>
      </c>
      <c r="B108" t="s">
        <v>42</v>
      </c>
      <c r="C108">
        <v>2030</v>
      </c>
      <c r="D108">
        <v>-480334.2310251884</v>
      </c>
      <c r="E108" t="s">
        <v>111</v>
      </c>
      <c r="F108" t="s">
        <v>111</v>
      </c>
      <c r="G108" t="s">
        <v>85</v>
      </c>
    </row>
    <row r="109" spans="1:7" x14ac:dyDescent="0.25">
      <c r="A109" t="s">
        <v>152</v>
      </c>
      <c r="B109" t="s">
        <v>42</v>
      </c>
      <c r="C109">
        <v>2030</v>
      </c>
      <c r="D109">
        <v>-141635.50215871484</v>
      </c>
      <c r="E109" t="s">
        <v>142</v>
      </c>
      <c r="F109" t="s">
        <v>143</v>
      </c>
    </row>
    <row r="110" spans="1:7" x14ac:dyDescent="0.25">
      <c r="A110" t="s">
        <v>152</v>
      </c>
      <c r="B110" t="s">
        <v>42</v>
      </c>
      <c r="C110">
        <v>2030</v>
      </c>
      <c r="D110">
        <v>-23355.966913419899</v>
      </c>
      <c r="E110" t="s">
        <v>133</v>
      </c>
      <c r="F110" t="s">
        <v>133</v>
      </c>
      <c r="G110" t="s">
        <v>85</v>
      </c>
    </row>
    <row r="111" spans="1:7" x14ac:dyDescent="0.25">
      <c r="A111" t="s">
        <v>152</v>
      </c>
      <c r="B111" t="s">
        <v>42</v>
      </c>
      <c r="C111">
        <v>2030</v>
      </c>
      <c r="D111">
        <v>-89409.032994317386</v>
      </c>
      <c r="E111" t="s">
        <v>136</v>
      </c>
      <c r="F111" t="s">
        <v>136</v>
      </c>
      <c r="G111" t="s">
        <v>85</v>
      </c>
    </row>
    <row r="112" spans="1:7" x14ac:dyDescent="0.25">
      <c r="A112" t="s">
        <v>152</v>
      </c>
      <c r="B112" t="s">
        <v>42</v>
      </c>
      <c r="C112">
        <v>2050</v>
      </c>
      <c r="D112">
        <v>113759.2643856763</v>
      </c>
      <c r="E112" t="s">
        <v>103</v>
      </c>
      <c r="F112" t="s">
        <v>103</v>
      </c>
      <c r="G112" t="s">
        <v>85</v>
      </c>
    </row>
    <row r="113" spans="1:7" x14ac:dyDescent="0.25">
      <c r="A113" t="s">
        <v>152</v>
      </c>
      <c r="B113" t="s">
        <v>42</v>
      </c>
      <c r="C113">
        <v>2050</v>
      </c>
      <c r="D113">
        <v>313962.22573617811</v>
      </c>
      <c r="E113" t="s">
        <v>104</v>
      </c>
      <c r="F113" t="s">
        <v>105</v>
      </c>
      <c r="G113" t="s">
        <v>85</v>
      </c>
    </row>
    <row r="114" spans="1:7" x14ac:dyDescent="0.25">
      <c r="A114" t="s">
        <v>152</v>
      </c>
      <c r="B114" t="s">
        <v>42</v>
      </c>
      <c r="C114">
        <v>2050</v>
      </c>
      <c r="D114">
        <v>1159853.6453351215</v>
      </c>
      <c r="E114" t="s">
        <v>104</v>
      </c>
      <c r="F114" t="s">
        <v>106</v>
      </c>
      <c r="G114" t="s">
        <v>107</v>
      </c>
    </row>
    <row r="115" spans="1:7" x14ac:dyDescent="0.25">
      <c r="A115" t="s">
        <v>152</v>
      </c>
      <c r="B115" t="s">
        <v>42</v>
      </c>
      <c r="C115">
        <v>2050</v>
      </c>
      <c r="D115">
        <v>0</v>
      </c>
      <c r="E115" t="s">
        <v>104</v>
      </c>
      <c r="F115" t="s">
        <v>106</v>
      </c>
      <c r="G115" t="s">
        <v>108</v>
      </c>
    </row>
    <row r="116" spans="1:7" x14ac:dyDescent="0.25">
      <c r="A116" t="s">
        <v>152</v>
      </c>
      <c r="B116" t="s">
        <v>42</v>
      </c>
      <c r="C116">
        <v>2050</v>
      </c>
      <c r="D116">
        <v>0</v>
      </c>
      <c r="E116" t="s">
        <v>104</v>
      </c>
      <c r="F116" t="s">
        <v>106</v>
      </c>
      <c r="G116" t="s">
        <v>109</v>
      </c>
    </row>
    <row r="117" spans="1:7" x14ac:dyDescent="0.25">
      <c r="A117" t="s">
        <v>152</v>
      </c>
      <c r="B117" t="s">
        <v>42</v>
      </c>
      <c r="C117">
        <v>2050</v>
      </c>
      <c r="D117">
        <v>-12810.937899750508</v>
      </c>
      <c r="E117" t="s">
        <v>110</v>
      </c>
      <c r="F117" t="s">
        <v>110</v>
      </c>
      <c r="G117" t="s">
        <v>85</v>
      </c>
    </row>
    <row r="118" spans="1:7" x14ac:dyDescent="0.25">
      <c r="A118" t="s">
        <v>152</v>
      </c>
      <c r="B118" t="s">
        <v>42</v>
      </c>
      <c r="C118">
        <v>2050</v>
      </c>
      <c r="D118">
        <v>-781712.38181486283</v>
      </c>
      <c r="E118" t="s">
        <v>111</v>
      </c>
      <c r="F118" t="s">
        <v>111</v>
      </c>
      <c r="G118" t="s">
        <v>85</v>
      </c>
    </row>
    <row r="119" spans="1:7" x14ac:dyDescent="0.25">
      <c r="A119" t="s">
        <v>152</v>
      </c>
      <c r="B119" t="s">
        <v>42</v>
      </c>
      <c r="C119">
        <v>2050</v>
      </c>
      <c r="D119">
        <v>-344529.0958944204</v>
      </c>
      <c r="E119" t="s">
        <v>142</v>
      </c>
      <c r="F119" t="s">
        <v>143</v>
      </c>
    </row>
    <row r="120" spans="1:7" x14ac:dyDescent="0.25">
      <c r="A120" t="s">
        <v>152</v>
      </c>
      <c r="B120" t="s">
        <v>42</v>
      </c>
      <c r="C120">
        <v>2050</v>
      </c>
      <c r="D120">
        <v>-27956.973542755644</v>
      </c>
      <c r="E120" t="s">
        <v>133</v>
      </c>
      <c r="F120" t="s">
        <v>133</v>
      </c>
      <c r="G120" t="s">
        <v>85</v>
      </c>
    </row>
    <row r="121" spans="1:7" x14ac:dyDescent="0.25">
      <c r="A121" t="s">
        <v>152</v>
      </c>
      <c r="B121" t="s">
        <v>42</v>
      </c>
      <c r="C121">
        <v>2050</v>
      </c>
      <c r="D121">
        <v>-193047.21753383346</v>
      </c>
      <c r="E121" t="s">
        <v>136</v>
      </c>
      <c r="F121" t="s">
        <v>136</v>
      </c>
      <c r="G121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181"/>
  <sheetViews>
    <sheetView topLeftCell="A73" workbookViewId="0">
      <selection activeCell="B92" sqref="B92:F18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93</v>
      </c>
      <c r="D1" t="s">
        <v>3</v>
      </c>
      <c r="E1" t="s">
        <v>94</v>
      </c>
      <c r="F1" t="s">
        <v>95</v>
      </c>
    </row>
    <row r="2" spans="1:6" x14ac:dyDescent="0.25">
      <c r="A2" t="s">
        <v>151</v>
      </c>
      <c r="B2" t="s">
        <v>112</v>
      </c>
      <c r="C2" t="s">
        <v>113</v>
      </c>
      <c r="D2">
        <v>2019</v>
      </c>
      <c r="E2" t="s">
        <v>107</v>
      </c>
      <c r="F2">
        <v>412730</v>
      </c>
    </row>
    <row r="3" spans="1:6" x14ac:dyDescent="0.25">
      <c r="A3" t="s">
        <v>151</v>
      </c>
      <c r="B3" t="s">
        <v>112</v>
      </c>
      <c r="C3" t="s">
        <v>114</v>
      </c>
      <c r="D3">
        <v>2019</v>
      </c>
      <c r="E3" t="s">
        <v>107</v>
      </c>
      <c r="F3">
        <v>1847465.5978301479</v>
      </c>
    </row>
    <row r="4" spans="1:6" x14ac:dyDescent="0.25">
      <c r="A4" t="s">
        <v>151</v>
      </c>
      <c r="B4" t="s">
        <v>112</v>
      </c>
      <c r="C4" t="s">
        <v>111</v>
      </c>
      <c r="D4">
        <v>2019</v>
      </c>
      <c r="E4" t="s">
        <v>107</v>
      </c>
      <c r="F4">
        <v>434670</v>
      </c>
    </row>
    <row r="5" spans="1:6" x14ac:dyDescent="0.25">
      <c r="A5" t="s">
        <v>151</v>
      </c>
      <c r="B5" t="s">
        <v>112</v>
      </c>
      <c r="C5" t="s">
        <v>115</v>
      </c>
      <c r="D5">
        <v>2019</v>
      </c>
      <c r="E5" t="s">
        <v>107</v>
      </c>
      <c r="F5">
        <v>288846.71526402031</v>
      </c>
    </row>
    <row r="6" spans="1:6" x14ac:dyDescent="0.25">
      <c r="A6" t="s">
        <v>151</v>
      </c>
      <c r="B6" t="s">
        <v>112</v>
      </c>
      <c r="C6" t="s">
        <v>116</v>
      </c>
      <c r="D6">
        <v>2019</v>
      </c>
      <c r="E6" t="s">
        <v>107</v>
      </c>
      <c r="F6">
        <v>46640</v>
      </c>
    </row>
    <row r="7" spans="1:6" x14ac:dyDescent="0.25">
      <c r="A7" t="s">
        <v>151</v>
      </c>
      <c r="B7" t="s">
        <v>112</v>
      </c>
      <c r="C7" t="s">
        <v>113</v>
      </c>
      <c r="D7">
        <v>2019</v>
      </c>
      <c r="E7" t="s">
        <v>108</v>
      </c>
      <c r="F7">
        <v>0</v>
      </c>
    </row>
    <row r="8" spans="1:6" x14ac:dyDescent="0.25">
      <c r="A8" t="s">
        <v>151</v>
      </c>
      <c r="B8" t="s">
        <v>112</v>
      </c>
      <c r="C8" t="s">
        <v>114</v>
      </c>
      <c r="D8">
        <v>2019</v>
      </c>
      <c r="E8" t="s">
        <v>108</v>
      </c>
      <c r="F8">
        <v>90723.841613092387</v>
      </c>
    </row>
    <row r="9" spans="1:6" x14ac:dyDescent="0.25">
      <c r="A9" t="s">
        <v>151</v>
      </c>
      <c r="B9" t="s">
        <v>112</v>
      </c>
      <c r="C9" t="s">
        <v>111</v>
      </c>
      <c r="D9">
        <v>2019</v>
      </c>
      <c r="E9" t="s">
        <v>108</v>
      </c>
      <c r="F9">
        <v>0</v>
      </c>
    </row>
    <row r="10" spans="1:6" x14ac:dyDescent="0.25">
      <c r="A10" t="s">
        <v>151</v>
      </c>
      <c r="B10" t="s">
        <v>112</v>
      </c>
      <c r="C10" t="s">
        <v>115</v>
      </c>
      <c r="D10">
        <v>2019</v>
      </c>
      <c r="E10" t="s">
        <v>108</v>
      </c>
      <c r="F10">
        <v>55514.664499432409</v>
      </c>
    </row>
    <row r="11" spans="1:6" x14ac:dyDescent="0.25">
      <c r="A11" t="s">
        <v>151</v>
      </c>
      <c r="B11" t="s">
        <v>112</v>
      </c>
      <c r="C11" t="s">
        <v>116</v>
      </c>
      <c r="D11">
        <v>2019</v>
      </c>
      <c r="E11" t="s">
        <v>108</v>
      </c>
      <c r="F11">
        <v>0</v>
      </c>
    </row>
    <row r="12" spans="1:6" x14ac:dyDescent="0.25">
      <c r="A12" t="s">
        <v>151</v>
      </c>
      <c r="B12" t="s">
        <v>112</v>
      </c>
      <c r="C12" t="s">
        <v>113</v>
      </c>
      <c r="D12">
        <v>2019</v>
      </c>
      <c r="E12" t="s">
        <v>109</v>
      </c>
      <c r="F12">
        <v>0</v>
      </c>
    </row>
    <row r="13" spans="1:6" x14ac:dyDescent="0.25">
      <c r="A13" t="s">
        <v>151</v>
      </c>
      <c r="B13" t="s">
        <v>112</v>
      </c>
      <c r="C13" t="s">
        <v>114</v>
      </c>
      <c r="D13">
        <v>2019</v>
      </c>
      <c r="E13" t="s">
        <v>109</v>
      </c>
      <c r="F13">
        <v>70620.560556759505</v>
      </c>
    </row>
    <row r="14" spans="1:6" x14ac:dyDescent="0.25">
      <c r="A14" t="s">
        <v>151</v>
      </c>
      <c r="B14" t="s">
        <v>112</v>
      </c>
      <c r="C14" t="s">
        <v>111</v>
      </c>
      <c r="D14">
        <v>2019</v>
      </c>
      <c r="E14" t="s">
        <v>109</v>
      </c>
      <c r="F14">
        <v>0</v>
      </c>
    </row>
    <row r="15" spans="1:6" x14ac:dyDescent="0.25">
      <c r="A15" t="s">
        <v>151</v>
      </c>
      <c r="B15" t="s">
        <v>112</v>
      </c>
      <c r="C15" t="s">
        <v>115</v>
      </c>
      <c r="D15">
        <v>2019</v>
      </c>
      <c r="E15" t="s">
        <v>109</v>
      </c>
      <c r="F15">
        <v>45828.620236547278</v>
      </c>
    </row>
    <row r="16" spans="1:6" x14ac:dyDescent="0.25">
      <c r="A16" t="s">
        <v>151</v>
      </c>
      <c r="B16" t="s">
        <v>112</v>
      </c>
      <c r="C16" t="s">
        <v>116</v>
      </c>
      <c r="D16">
        <v>2019</v>
      </c>
      <c r="E16" t="s">
        <v>109</v>
      </c>
      <c r="F16">
        <v>0</v>
      </c>
    </row>
    <row r="17" spans="1:6" x14ac:dyDescent="0.25">
      <c r="A17" t="s">
        <v>151</v>
      </c>
      <c r="B17" t="s">
        <v>112</v>
      </c>
      <c r="C17" t="s">
        <v>113</v>
      </c>
      <c r="D17">
        <v>2030</v>
      </c>
      <c r="E17" t="s">
        <v>107</v>
      </c>
      <c r="F17">
        <v>412730</v>
      </c>
    </row>
    <row r="18" spans="1:6" x14ac:dyDescent="0.25">
      <c r="A18" t="s">
        <v>151</v>
      </c>
      <c r="B18" t="s">
        <v>112</v>
      </c>
      <c r="C18" t="s">
        <v>114</v>
      </c>
      <c r="D18">
        <v>2030</v>
      </c>
      <c r="E18" t="s">
        <v>107</v>
      </c>
      <c r="F18">
        <v>1703032.5053733333</v>
      </c>
    </row>
    <row r="19" spans="1:6" x14ac:dyDescent="0.25">
      <c r="A19" t="s">
        <v>151</v>
      </c>
      <c r="B19" t="s">
        <v>112</v>
      </c>
      <c r="C19" t="s">
        <v>111</v>
      </c>
      <c r="D19">
        <v>2030</v>
      </c>
      <c r="E19" t="s">
        <v>107</v>
      </c>
      <c r="F19">
        <v>579103.0924568146</v>
      </c>
    </row>
    <row r="20" spans="1:6" x14ac:dyDescent="0.25">
      <c r="A20" t="s">
        <v>151</v>
      </c>
      <c r="B20" t="s">
        <v>112</v>
      </c>
      <c r="C20" t="s">
        <v>115</v>
      </c>
      <c r="D20">
        <v>2030</v>
      </c>
      <c r="E20" t="s">
        <v>107</v>
      </c>
      <c r="F20">
        <v>288846.71526402031</v>
      </c>
    </row>
    <row r="21" spans="1:6" x14ac:dyDescent="0.25">
      <c r="A21" t="s">
        <v>151</v>
      </c>
      <c r="B21" t="s">
        <v>112</v>
      </c>
      <c r="C21" t="s">
        <v>116</v>
      </c>
      <c r="D21">
        <v>2030</v>
      </c>
      <c r="E21" t="s">
        <v>107</v>
      </c>
      <c r="F21">
        <v>46640</v>
      </c>
    </row>
    <row r="22" spans="1:6" x14ac:dyDescent="0.25">
      <c r="A22" t="s">
        <v>151</v>
      </c>
      <c r="B22" t="s">
        <v>112</v>
      </c>
      <c r="C22" t="s">
        <v>113</v>
      </c>
      <c r="D22">
        <v>2030</v>
      </c>
      <c r="E22" t="s">
        <v>108</v>
      </c>
      <c r="F22">
        <v>0</v>
      </c>
    </row>
    <row r="23" spans="1:6" x14ac:dyDescent="0.25">
      <c r="A23" t="s">
        <v>151</v>
      </c>
      <c r="B23" t="s">
        <v>112</v>
      </c>
      <c r="C23" t="s">
        <v>114</v>
      </c>
      <c r="D23">
        <v>2030</v>
      </c>
      <c r="E23" t="s">
        <v>108</v>
      </c>
      <c r="F23">
        <v>71073.719384342752</v>
      </c>
    </row>
    <row r="24" spans="1:6" x14ac:dyDescent="0.25">
      <c r="A24" t="s">
        <v>151</v>
      </c>
      <c r="B24" t="s">
        <v>112</v>
      </c>
      <c r="C24" t="s">
        <v>111</v>
      </c>
      <c r="D24">
        <v>2030</v>
      </c>
      <c r="E24" t="s">
        <v>108</v>
      </c>
      <c r="F24">
        <v>0</v>
      </c>
    </row>
    <row r="25" spans="1:6" x14ac:dyDescent="0.25">
      <c r="A25" t="s">
        <v>151</v>
      </c>
      <c r="B25" t="s">
        <v>112</v>
      </c>
      <c r="C25" t="s">
        <v>115</v>
      </c>
      <c r="D25">
        <v>2030</v>
      </c>
      <c r="E25" t="s">
        <v>108</v>
      </c>
      <c r="F25">
        <v>75164.786728182051</v>
      </c>
    </row>
    <row r="26" spans="1:6" x14ac:dyDescent="0.25">
      <c r="A26" t="s">
        <v>151</v>
      </c>
      <c r="B26" t="s">
        <v>112</v>
      </c>
      <c r="C26" t="s">
        <v>116</v>
      </c>
      <c r="D26">
        <v>2030</v>
      </c>
      <c r="E26" t="s">
        <v>108</v>
      </c>
      <c r="F26">
        <v>0</v>
      </c>
    </row>
    <row r="27" spans="1:6" x14ac:dyDescent="0.25">
      <c r="A27" t="s">
        <v>151</v>
      </c>
      <c r="B27" t="s">
        <v>112</v>
      </c>
      <c r="C27" t="s">
        <v>113</v>
      </c>
      <c r="D27">
        <v>2030</v>
      </c>
      <c r="E27" t="s">
        <v>109</v>
      </c>
      <c r="F27">
        <v>0</v>
      </c>
    </row>
    <row r="28" spans="1:6" x14ac:dyDescent="0.25">
      <c r="A28" t="s">
        <v>151</v>
      </c>
      <c r="B28" t="s">
        <v>112</v>
      </c>
      <c r="C28" t="s">
        <v>114</v>
      </c>
      <c r="D28">
        <v>2030</v>
      </c>
      <c r="E28" t="s">
        <v>109</v>
      </c>
      <c r="F28">
        <v>0</v>
      </c>
    </row>
    <row r="29" spans="1:6" x14ac:dyDescent="0.25">
      <c r="A29" t="s">
        <v>151</v>
      </c>
      <c r="B29" t="s">
        <v>112</v>
      </c>
      <c r="C29" t="s">
        <v>111</v>
      </c>
      <c r="D29">
        <v>2030</v>
      </c>
      <c r="E29" t="s">
        <v>109</v>
      </c>
      <c r="F29">
        <v>0</v>
      </c>
    </row>
    <row r="30" spans="1:6" x14ac:dyDescent="0.25">
      <c r="A30" t="s">
        <v>151</v>
      </c>
      <c r="B30" t="s">
        <v>112</v>
      </c>
      <c r="C30" t="s">
        <v>115</v>
      </c>
      <c r="D30">
        <v>2030</v>
      </c>
      <c r="E30" t="s">
        <v>109</v>
      </c>
      <c r="F30">
        <v>116449.18079330676</v>
      </c>
    </row>
    <row r="31" spans="1:6" x14ac:dyDescent="0.25">
      <c r="A31" t="s">
        <v>151</v>
      </c>
      <c r="B31" t="s">
        <v>112</v>
      </c>
      <c r="C31" t="s">
        <v>116</v>
      </c>
      <c r="D31">
        <v>2030</v>
      </c>
      <c r="E31" t="s">
        <v>109</v>
      </c>
      <c r="F31">
        <v>0</v>
      </c>
    </row>
    <row r="32" spans="1:6" x14ac:dyDescent="0.25">
      <c r="A32" t="s">
        <v>151</v>
      </c>
      <c r="B32" t="s">
        <v>112</v>
      </c>
      <c r="C32" t="s">
        <v>113</v>
      </c>
      <c r="D32">
        <v>2050</v>
      </c>
      <c r="E32" t="s">
        <v>107</v>
      </c>
      <c r="F32">
        <v>412730</v>
      </c>
    </row>
    <row r="33" spans="1:6" x14ac:dyDescent="0.25">
      <c r="A33" t="s">
        <v>151</v>
      </c>
      <c r="B33" t="s">
        <v>112</v>
      </c>
      <c r="C33" t="s">
        <v>114</v>
      </c>
      <c r="D33">
        <v>2050</v>
      </c>
      <c r="E33" t="s">
        <v>107</v>
      </c>
      <c r="F33">
        <v>1450274.5935739079</v>
      </c>
    </row>
    <row r="34" spans="1:6" x14ac:dyDescent="0.25">
      <c r="A34" t="s">
        <v>151</v>
      </c>
      <c r="B34" t="s">
        <v>112</v>
      </c>
      <c r="C34" t="s">
        <v>111</v>
      </c>
      <c r="D34">
        <v>2050</v>
      </c>
      <c r="E34" t="s">
        <v>107</v>
      </c>
      <c r="F34">
        <v>831861.00425624021</v>
      </c>
    </row>
    <row r="35" spans="1:6" x14ac:dyDescent="0.25">
      <c r="A35" t="s">
        <v>151</v>
      </c>
      <c r="B35" t="s">
        <v>112</v>
      </c>
      <c r="C35" t="s">
        <v>115</v>
      </c>
      <c r="D35">
        <v>2050</v>
      </c>
      <c r="E35" t="s">
        <v>107</v>
      </c>
      <c r="F35">
        <v>288846.71526402031</v>
      </c>
    </row>
    <row r="36" spans="1:6" x14ac:dyDescent="0.25">
      <c r="A36" t="s">
        <v>151</v>
      </c>
      <c r="B36" t="s">
        <v>112</v>
      </c>
      <c r="C36" t="s">
        <v>116</v>
      </c>
      <c r="D36">
        <v>2050</v>
      </c>
      <c r="E36" t="s">
        <v>107</v>
      </c>
      <c r="F36">
        <v>46640</v>
      </c>
    </row>
    <row r="37" spans="1:6" x14ac:dyDescent="0.25">
      <c r="A37" t="s">
        <v>151</v>
      </c>
      <c r="B37" t="s">
        <v>112</v>
      </c>
      <c r="C37" t="s">
        <v>113</v>
      </c>
      <c r="D37">
        <v>2050</v>
      </c>
      <c r="E37" t="s">
        <v>108</v>
      </c>
      <c r="F37">
        <v>0</v>
      </c>
    </row>
    <row r="38" spans="1:6" x14ac:dyDescent="0.25">
      <c r="A38" t="s">
        <v>151</v>
      </c>
      <c r="B38" t="s">
        <v>112</v>
      </c>
      <c r="C38" t="s">
        <v>114</v>
      </c>
      <c r="D38">
        <v>2050</v>
      </c>
      <c r="E38" t="s">
        <v>108</v>
      </c>
      <c r="F38">
        <v>0</v>
      </c>
    </row>
    <row r="39" spans="1:6" x14ac:dyDescent="0.25">
      <c r="A39" t="s">
        <v>151</v>
      </c>
      <c r="B39" t="s">
        <v>112</v>
      </c>
      <c r="C39" t="s">
        <v>111</v>
      </c>
      <c r="D39">
        <v>2050</v>
      </c>
      <c r="E39" t="s">
        <v>108</v>
      </c>
      <c r="F39">
        <v>0</v>
      </c>
    </row>
    <row r="40" spans="1:6" x14ac:dyDescent="0.25">
      <c r="A40" t="s">
        <v>151</v>
      </c>
      <c r="B40" t="s">
        <v>112</v>
      </c>
      <c r="C40" t="s">
        <v>115</v>
      </c>
      <c r="D40">
        <v>2050</v>
      </c>
      <c r="E40" t="s">
        <v>108</v>
      </c>
      <c r="F40">
        <v>146238.5061125248</v>
      </c>
    </row>
    <row r="41" spans="1:6" x14ac:dyDescent="0.25">
      <c r="A41" t="s">
        <v>151</v>
      </c>
      <c r="B41" t="s">
        <v>112</v>
      </c>
      <c r="C41" t="s">
        <v>116</v>
      </c>
      <c r="D41">
        <v>2050</v>
      </c>
      <c r="E41" t="s">
        <v>108</v>
      </c>
      <c r="F41">
        <v>0</v>
      </c>
    </row>
    <row r="42" spans="1:6" x14ac:dyDescent="0.25">
      <c r="A42" t="s">
        <v>151</v>
      </c>
      <c r="B42" t="s">
        <v>112</v>
      </c>
      <c r="C42" t="s">
        <v>113</v>
      </c>
      <c r="D42">
        <v>2050</v>
      </c>
      <c r="E42" t="s">
        <v>109</v>
      </c>
      <c r="F42">
        <v>0</v>
      </c>
    </row>
    <row r="43" spans="1:6" x14ac:dyDescent="0.25">
      <c r="A43" t="s">
        <v>151</v>
      </c>
      <c r="B43" t="s">
        <v>112</v>
      </c>
      <c r="C43" t="s">
        <v>114</v>
      </c>
      <c r="D43">
        <v>2050</v>
      </c>
      <c r="E43" t="s">
        <v>109</v>
      </c>
      <c r="F43">
        <v>0</v>
      </c>
    </row>
    <row r="44" spans="1:6" x14ac:dyDescent="0.25">
      <c r="A44" t="s">
        <v>151</v>
      </c>
      <c r="B44" t="s">
        <v>112</v>
      </c>
      <c r="C44" t="s">
        <v>111</v>
      </c>
      <c r="D44">
        <v>2050</v>
      </c>
      <c r="E44" t="s">
        <v>109</v>
      </c>
      <c r="F44">
        <v>0</v>
      </c>
    </row>
    <row r="45" spans="1:6" x14ac:dyDescent="0.25">
      <c r="A45" t="s">
        <v>151</v>
      </c>
      <c r="B45" t="s">
        <v>112</v>
      </c>
      <c r="C45" t="s">
        <v>115</v>
      </c>
      <c r="D45">
        <v>2050</v>
      </c>
      <c r="E45" t="s">
        <v>109</v>
      </c>
      <c r="F45">
        <v>116449.18079330676</v>
      </c>
    </row>
    <row r="46" spans="1:6" x14ac:dyDescent="0.25">
      <c r="A46" t="s">
        <v>151</v>
      </c>
      <c r="B46" t="s">
        <v>112</v>
      </c>
      <c r="C46" t="s">
        <v>116</v>
      </c>
      <c r="D46">
        <v>2050</v>
      </c>
      <c r="E46" t="s">
        <v>109</v>
      </c>
      <c r="F46">
        <v>0</v>
      </c>
    </row>
    <row r="47" spans="1:6" x14ac:dyDescent="0.25">
      <c r="A47" t="s">
        <v>151</v>
      </c>
      <c r="B47" t="s">
        <v>117</v>
      </c>
      <c r="C47" t="s">
        <v>113</v>
      </c>
      <c r="D47">
        <v>2019</v>
      </c>
      <c r="E47" t="s">
        <v>107</v>
      </c>
      <c r="F47">
        <v>178500</v>
      </c>
    </row>
    <row r="48" spans="1:6" x14ac:dyDescent="0.25">
      <c r="A48" t="s">
        <v>151</v>
      </c>
      <c r="B48" t="s">
        <v>117</v>
      </c>
      <c r="C48" t="s">
        <v>114</v>
      </c>
      <c r="D48">
        <v>2019</v>
      </c>
      <c r="E48" t="s">
        <v>107</v>
      </c>
      <c r="F48">
        <v>552170.40216985194</v>
      </c>
    </row>
    <row r="49" spans="1:6" x14ac:dyDescent="0.25">
      <c r="A49" t="s">
        <v>151</v>
      </c>
      <c r="B49" t="s">
        <v>117</v>
      </c>
      <c r="C49" t="s">
        <v>111</v>
      </c>
      <c r="D49">
        <v>2019</v>
      </c>
      <c r="E49" t="s">
        <v>107</v>
      </c>
      <c r="F49">
        <v>127230</v>
      </c>
    </row>
    <row r="50" spans="1:6" x14ac:dyDescent="0.25">
      <c r="A50" t="s">
        <v>151</v>
      </c>
      <c r="B50" t="s">
        <v>117</v>
      </c>
      <c r="C50" t="s">
        <v>115</v>
      </c>
      <c r="D50">
        <v>2019</v>
      </c>
      <c r="E50" t="s">
        <v>107</v>
      </c>
      <c r="F50">
        <v>71807.284735979716</v>
      </c>
    </row>
    <row r="51" spans="1:6" x14ac:dyDescent="0.25">
      <c r="A51" t="s">
        <v>151</v>
      </c>
      <c r="B51" t="s">
        <v>117</v>
      </c>
      <c r="C51" t="s">
        <v>116</v>
      </c>
      <c r="D51">
        <v>2019</v>
      </c>
      <c r="E51" t="s">
        <v>107</v>
      </c>
      <c r="F51">
        <v>19220</v>
      </c>
    </row>
    <row r="52" spans="1:6" x14ac:dyDescent="0.25">
      <c r="A52" t="s">
        <v>151</v>
      </c>
      <c r="B52" t="s">
        <v>117</v>
      </c>
      <c r="C52" t="s">
        <v>113</v>
      </c>
      <c r="D52">
        <v>2019</v>
      </c>
      <c r="E52" t="s">
        <v>108</v>
      </c>
      <c r="F52">
        <v>0</v>
      </c>
    </row>
    <row r="53" spans="1:6" x14ac:dyDescent="0.25">
      <c r="A53" t="s">
        <v>151</v>
      </c>
      <c r="B53" t="s">
        <v>117</v>
      </c>
      <c r="C53" t="s">
        <v>114</v>
      </c>
      <c r="D53">
        <v>2019</v>
      </c>
      <c r="E53" t="s">
        <v>108</v>
      </c>
      <c r="F53">
        <v>9778.158386907593</v>
      </c>
    </row>
    <row r="54" spans="1:6" x14ac:dyDescent="0.25">
      <c r="A54" t="s">
        <v>151</v>
      </c>
      <c r="B54" t="s">
        <v>117</v>
      </c>
      <c r="C54" t="s">
        <v>111</v>
      </c>
      <c r="D54">
        <v>2019</v>
      </c>
      <c r="E54" t="s">
        <v>108</v>
      </c>
      <c r="F54">
        <v>0</v>
      </c>
    </row>
    <row r="55" spans="1:6" x14ac:dyDescent="0.25">
      <c r="A55" t="s">
        <v>151</v>
      </c>
      <c r="B55" t="s">
        <v>117</v>
      </c>
      <c r="C55" t="s">
        <v>115</v>
      </c>
      <c r="D55">
        <v>2019</v>
      </c>
      <c r="E55" t="s">
        <v>108</v>
      </c>
      <c r="F55">
        <v>5983.3355005675821</v>
      </c>
    </row>
    <row r="56" spans="1:6" x14ac:dyDescent="0.25">
      <c r="A56" t="s">
        <v>151</v>
      </c>
      <c r="B56" t="s">
        <v>117</v>
      </c>
      <c r="C56" t="s">
        <v>116</v>
      </c>
      <c r="D56">
        <v>2019</v>
      </c>
      <c r="E56" t="s">
        <v>108</v>
      </c>
      <c r="F56">
        <v>0</v>
      </c>
    </row>
    <row r="57" spans="1:6" x14ac:dyDescent="0.25">
      <c r="A57" t="s">
        <v>151</v>
      </c>
      <c r="B57" t="s">
        <v>117</v>
      </c>
      <c r="C57" t="s">
        <v>113</v>
      </c>
      <c r="D57">
        <v>2019</v>
      </c>
      <c r="E57" t="s">
        <v>109</v>
      </c>
      <c r="F57">
        <v>0</v>
      </c>
    </row>
    <row r="58" spans="1:6" x14ac:dyDescent="0.25">
      <c r="A58" t="s">
        <v>151</v>
      </c>
      <c r="B58" t="s">
        <v>117</v>
      </c>
      <c r="C58" t="s">
        <v>114</v>
      </c>
      <c r="D58">
        <v>2019</v>
      </c>
      <c r="E58" t="s">
        <v>109</v>
      </c>
      <c r="F58">
        <v>7611.4394432404806</v>
      </c>
    </row>
    <row r="59" spans="1:6" x14ac:dyDescent="0.25">
      <c r="A59" t="s">
        <v>151</v>
      </c>
      <c r="B59" t="s">
        <v>117</v>
      </c>
      <c r="C59" t="s">
        <v>111</v>
      </c>
      <c r="D59">
        <v>2019</v>
      </c>
      <c r="E59" t="s">
        <v>109</v>
      </c>
      <c r="F59">
        <v>0</v>
      </c>
    </row>
    <row r="60" spans="1:6" x14ac:dyDescent="0.25">
      <c r="A60" t="s">
        <v>151</v>
      </c>
      <c r="B60" t="s">
        <v>117</v>
      </c>
      <c r="C60" t="s">
        <v>115</v>
      </c>
      <c r="D60">
        <v>2019</v>
      </c>
      <c r="E60" t="s">
        <v>109</v>
      </c>
      <c r="F60">
        <v>4939.3797634527136</v>
      </c>
    </row>
    <row r="61" spans="1:6" x14ac:dyDescent="0.25">
      <c r="A61" t="s">
        <v>151</v>
      </c>
      <c r="B61" t="s">
        <v>117</v>
      </c>
      <c r="C61" t="s">
        <v>116</v>
      </c>
      <c r="D61">
        <v>2019</v>
      </c>
      <c r="E61" t="s">
        <v>109</v>
      </c>
      <c r="F61">
        <v>0</v>
      </c>
    </row>
    <row r="62" spans="1:6" x14ac:dyDescent="0.25">
      <c r="A62" t="s">
        <v>151</v>
      </c>
      <c r="B62" t="s">
        <v>117</v>
      </c>
      <c r="C62" t="s">
        <v>113</v>
      </c>
      <c r="D62">
        <v>2030</v>
      </c>
      <c r="E62" t="s">
        <v>107</v>
      </c>
      <c r="F62">
        <v>178500</v>
      </c>
    </row>
    <row r="63" spans="1:6" x14ac:dyDescent="0.25">
      <c r="A63" t="s">
        <v>151</v>
      </c>
      <c r="B63" t="s">
        <v>117</v>
      </c>
      <c r="C63" t="s">
        <v>114</v>
      </c>
      <c r="D63">
        <v>2030</v>
      </c>
      <c r="E63" t="s">
        <v>107</v>
      </c>
      <c r="F63">
        <v>536603.49462666654</v>
      </c>
    </row>
    <row r="64" spans="1:6" x14ac:dyDescent="0.25">
      <c r="A64" t="s">
        <v>151</v>
      </c>
      <c r="B64" t="s">
        <v>117</v>
      </c>
      <c r="C64" t="s">
        <v>111</v>
      </c>
      <c r="D64">
        <v>2030</v>
      </c>
      <c r="E64" t="s">
        <v>107</v>
      </c>
      <c r="F64">
        <v>142796.90754318537</v>
      </c>
    </row>
    <row r="65" spans="1:6" x14ac:dyDescent="0.25">
      <c r="A65" t="s">
        <v>151</v>
      </c>
      <c r="B65" t="s">
        <v>117</v>
      </c>
      <c r="C65" t="s">
        <v>115</v>
      </c>
      <c r="D65">
        <v>2030</v>
      </c>
      <c r="E65" t="s">
        <v>107</v>
      </c>
      <c r="F65">
        <v>71807.284735979716</v>
      </c>
    </row>
    <row r="66" spans="1:6" x14ac:dyDescent="0.25">
      <c r="A66" t="s">
        <v>151</v>
      </c>
      <c r="B66" t="s">
        <v>117</v>
      </c>
      <c r="C66" t="s">
        <v>116</v>
      </c>
      <c r="D66">
        <v>2030</v>
      </c>
      <c r="E66" t="s">
        <v>107</v>
      </c>
      <c r="F66">
        <v>19220</v>
      </c>
    </row>
    <row r="67" spans="1:6" x14ac:dyDescent="0.25">
      <c r="A67" t="s">
        <v>151</v>
      </c>
      <c r="B67" t="s">
        <v>117</v>
      </c>
      <c r="C67" t="s">
        <v>113</v>
      </c>
      <c r="D67">
        <v>2030</v>
      </c>
      <c r="E67" t="s">
        <v>108</v>
      </c>
      <c r="F67">
        <v>0</v>
      </c>
    </row>
    <row r="68" spans="1:6" x14ac:dyDescent="0.25">
      <c r="A68" t="s">
        <v>151</v>
      </c>
      <c r="B68" t="s">
        <v>117</v>
      </c>
      <c r="C68" t="s">
        <v>114</v>
      </c>
      <c r="D68">
        <v>2030</v>
      </c>
      <c r="E68" t="s">
        <v>108</v>
      </c>
      <c r="F68">
        <v>7660.2806156572242</v>
      </c>
    </row>
    <row r="69" spans="1:6" x14ac:dyDescent="0.25">
      <c r="A69" t="s">
        <v>151</v>
      </c>
      <c r="B69" t="s">
        <v>117</v>
      </c>
      <c r="C69" t="s">
        <v>111</v>
      </c>
      <c r="D69">
        <v>2030</v>
      </c>
      <c r="E69" t="s">
        <v>108</v>
      </c>
      <c r="F69">
        <v>0</v>
      </c>
    </row>
    <row r="70" spans="1:6" x14ac:dyDescent="0.25">
      <c r="A70" t="s">
        <v>151</v>
      </c>
      <c r="B70" t="s">
        <v>117</v>
      </c>
      <c r="C70" t="s">
        <v>115</v>
      </c>
      <c r="D70">
        <v>2030</v>
      </c>
      <c r="E70" t="s">
        <v>108</v>
      </c>
      <c r="F70">
        <v>8101.213271817951</v>
      </c>
    </row>
    <row r="71" spans="1:6" x14ac:dyDescent="0.25">
      <c r="A71" t="s">
        <v>151</v>
      </c>
      <c r="B71" t="s">
        <v>117</v>
      </c>
      <c r="C71" t="s">
        <v>116</v>
      </c>
      <c r="D71">
        <v>2030</v>
      </c>
      <c r="E71" t="s">
        <v>108</v>
      </c>
      <c r="F71">
        <v>0</v>
      </c>
    </row>
    <row r="72" spans="1:6" x14ac:dyDescent="0.25">
      <c r="A72" t="s">
        <v>151</v>
      </c>
      <c r="B72" t="s">
        <v>117</v>
      </c>
      <c r="C72" t="s">
        <v>113</v>
      </c>
      <c r="D72">
        <v>2030</v>
      </c>
      <c r="E72" t="s">
        <v>109</v>
      </c>
      <c r="F72">
        <v>0</v>
      </c>
    </row>
    <row r="73" spans="1:6" x14ac:dyDescent="0.25">
      <c r="A73" t="s">
        <v>151</v>
      </c>
      <c r="B73" t="s">
        <v>117</v>
      </c>
      <c r="C73" t="s">
        <v>114</v>
      </c>
      <c r="D73">
        <v>2030</v>
      </c>
      <c r="E73" t="s">
        <v>109</v>
      </c>
      <c r="F73">
        <v>0</v>
      </c>
    </row>
    <row r="74" spans="1:6" x14ac:dyDescent="0.25">
      <c r="A74" t="s">
        <v>151</v>
      </c>
      <c r="B74" t="s">
        <v>117</v>
      </c>
      <c r="C74" t="s">
        <v>111</v>
      </c>
      <c r="D74">
        <v>2030</v>
      </c>
      <c r="E74" t="s">
        <v>109</v>
      </c>
      <c r="F74">
        <v>0</v>
      </c>
    </row>
    <row r="75" spans="1:6" x14ac:dyDescent="0.25">
      <c r="A75" t="s">
        <v>151</v>
      </c>
      <c r="B75" t="s">
        <v>117</v>
      </c>
      <c r="C75" t="s">
        <v>115</v>
      </c>
      <c r="D75">
        <v>2030</v>
      </c>
      <c r="E75" t="s">
        <v>109</v>
      </c>
      <c r="F75">
        <v>12550.819206693192</v>
      </c>
    </row>
    <row r="76" spans="1:6" x14ac:dyDescent="0.25">
      <c r="A76" t="s">
        <v>151</v>
      </c>
      <c r="B76" t="s">
        <v>117</v>
      </c>
      <c r="C76" t="s">
        <v>116</v>
      </c>
      <c r="D76">
        <v>2030</v>
      </c>
      <c r="E76" t="s">
        <v>109</v>
      </c>
      <c r="F76">
        <v>0</v>
      </c>
    </row>
    <row r="77" spans="1:6" x14ac:dyDescent="0.25">
      <c r="A77" t="s">
        <v>151</v>
      </c>
      <c r="B77" t="s">
        <v>117</v>
      </c>
      <c r="C77" t="s">
        <v>113</v>
      </c>
      <c r="D77">
        <v>2050</v>
      </c>
      <c r="E77" t="s">
        <v>107</v>
      </c>
      <c r="F77">
        <v>178500</v>
      </c>
    </row>
    <row r="78" spans="1:6" x14ac:dyDescent="0.25">
      <c r="A78" t="s">
        <v>151</v>
      </c>
      <c r="B78" t="s">
        <v>117</v>
      </c>
      <c r="C78" t="s">
        <v>114</v>
      </c>
      <c r="D78">
        <v>2050</v>
      </c>
      <c r="E78" t="s">
        <v>107</v>
      </c>
      <c r="F78">
        <v>509361.4064260922</v>
      </c>
    </row>
    <row r="79" spans="1:6" x14ac:dyDescent="0.25">
      <c r="A79" t="s">
        <v>151</v>
      </c>
      <c r="B79" t="s">
        <v>117</v>
      </c>
      <c r="C79" t="s">
        <v>111</v>
      </c>
      <c r="D79">
        <v>2050</v>
      </c>
      <c r="E79" t="s">
        <v>107</v>
      </c>
      <c r="F79">
        <v>170038.99574375973</v>
      </c>
    </row>
    <row r="80" spans="1:6" x14ac:dyDescent="0.25">
      <c r="A80" t="s">
        <v>151</v>
      </c>
      <c r="B80" t="s">
        <v>117</v>
      </c>
      <c r="C80" t="s">
        <v>115</v>
      </c>
      <c r="D80">
        <v>2050</v>
      </c>
      <c r="E80" t="s">
        <v>107</v>
      </c>
      <c r="F80">
        <v>71807.284735979716</v>
      </c>
    </row>
    <row r="81" spans="1:6" x14ac:dyDescent="0.25">
      <c r="A81" t="s">
        <v>151</v>
      </c>
      <c r="B81" t="s">
        <v>117</v>
      </c>
      <c r="C81" t="s">
        <v>116</v>
      </c>
      <c r="D81">
        <v>2050</v>
      </c>
      <c r="E81" t="s">
        <v>107</v>
      </c>
      <c r="F81">
        <v>19220</v>
      </c>
    </row>
    <row r="82" spans="1:6" x14ac:dyDescent="0.25">
      <c r="A82" t="s">
        <v>151</v>
      </c>
      <c r="B82" t="s">
        <v>117</v>
      </c>
      <c r="C82" t="s">
        <v>113</v>
      </c>
      <c r="D82">
        <v>2050</v>
      </c>
      <c r="E82" t="s">
        <v>108</v>
      </c>
      <c r="F82">
        <v>0</v>
      </c>
    </row>
    <row r="83" spans="1:6" x14ac:dyDescent="0.25">
      <c r="A83" t="s">
        <v>151</v>
      </c>
      <c r="B83" t="s">
        <v>117</v>
      </c>
      <c r="C83" t="s">
        <v>114</v>
      </c>
      <c r="D83">
        <v>2050</v>
      </c>
      <c r="E83" t="s">
        <v>108</v>
      </c>
      <c r="F83">
        <v>0</v>
      </c>
    </row>
    <row r="84" spans="1:6" x14ac:dyDescent="0.25">
      <c r="A84" t="s">
        <v>151</v>
      </c>
      <c r="B84" t="s">
        <v>117</v>
      </c>
      <c r="C84" t="s">
        <v>111</v>
      </c>
      <c r="D84">
        <v>2050</v>
      </c>
      <c r="E84" t="s">
        <v>108</v>
      </c>
      <c r="F84">
        <v>0</v>
      </c>
    </row>
    <row r="85" spans="1:6" x14ac:dyDescent="0.25">
      <c r="A85" t="s">
        <v>151</v>
      </c>
      <c r="B85" t="s">
        <v>117</v>
      </c>
      <c r="C85" t="s">
        <v>115</v>
      </c>
      <c r="D85">
        <v>2050</v>
      </c>
      <c r="E85" t="s">
        <v>108</v>
      </c>
      <c r="F85">
        <v>15761.493887475173</v>
      </c>
    </row>
    <row r="86" spans="1:6" x14ac:dyDescent="0.25">
      <c r="A86" t="s">
        <v>151</v>
      </c>
      <c r="B86" t="s">
        <v>117</v>
      </c>
      <c r="C86" t="s">
        <v>116</v>
      </c>
      <c r="D86">
        <v>2050</v>
      </c>
      <c r="E86" t="s">
        <v>108</v>
      </c>
      <c r="F86">
        <v>0</v>
      </c>
    </row>
    <row r="87" spans="1:6" x14ac:dyDescent="0.25">
      <c r="A87" t="s">
        <v>151</v>
      </c>
      <c r="B87" t="s">
        <v>117</v>
      </c>
      <c r="C87" t="s">
        <v>113</v>
      </c>
      <c r="D87">
        <v>2050</v>
      </c>
      <c r="E87" t="s">
        <v>109</v>
      </c>
      <c r="F87">
        <v>0</v>
      </c>
    </row>
    <row r="88" spans="1:6" x14ac:dyDescent="0.25">
      <c r="A88" t="s">
        <v>151</v>
      </c>
      <c r="B88" t="s">
        <v>117</v>
      </c>
      <c r="C88" t="s">
        <v>114</v>
      </c>
      <c r="D88">
        <v>2050</v>
      </c>
      <c r="E88" t="s">
        <v>109</v>
      </c>
      <c r="F88">
        <v>0</v>
      </c>
    </row>
    <row r="89" spans="1:6" x14ac:dyDescent="0.25">
      <c r="A89" t="s">
        <v>151</v>
      </c>
      <c r="B89" t="s">
        <v>117</v>
      </c>
      <c r="C89" t="s">
        <v>111</v>
      </c>
      <c r="D89">
        <v>2050</v>
      </c>
      <c r="E89" t="s">
        <v>109</v>
      </c>
      <c r="F89">
        <v>0</v>
      </c>
    </row>
    <row r="90" spans="1:6" x14ac:dyDescent="0.25">
      <c r="A90" t="s">
        <v>151</v>
      </c>
      <c r="B90" t="s">
        <v>117</v>
      </c>
      <c r="C90" t="s">
        <v>115</v>
      </c>
      <c r="D90">
        <v>2050</v>
      </c>
      <c r="E90" t="s">
        <v>109</v>
      </c>
      <c r="F90">
        <v>12550.819206693192</v>
      </c>
    </row>
    <row r="91" spans="1:6" x14ac:dyDescent="0.25">
      <c r="A91" t="s">
        <v>151</v>
      </c>
      <c r="B91" t="s">
        <v>117</v>
      </c>
      <c r="C91" t="s">
        <v>116</v>
      </c>
      <c r="D91">
        <v>2050</v>
      </c>
      <c r="E91" t="s">
        <v>109</v>
      </c>
      <c r="F91">
        <v>0</v>
      </c>
    </row>
    <row r="92" spans="1:6" x14ac:dyDescent="0.25">
      <c r="A92" t="s">
        <v>152</v>
      </c>
      <c r="B92" t="s">
        <v>112</v>
      </c>
      <c r="C92" t="s">
        <v>113</v>
      </c>
      <c r="D92">
        <v>2019</v>
      </c>
      <c r="E92" t="s">
        <v>107</v>
      </c>
      <c r="F92">
        <v>412730</v>
      </c>
    </row>
    <row r="93" spans="1:6" x14ac:dyDescent="0.25">
      <c r="A93" t="s">
        <v>152</v>
      </c>
      <c r="B93" t="s">
        <v>112</v>
      </c>
      <c r="C93" t="s">
        <v>114</v>
      </c>
      <c r="D93">
        <v>2019</v>
      </c>
      <c r="E93" t="s">
        <v>107</v>
      </c>
      <c r="F93">
        <v>1847465.5978301479</v>
      </c>
    </row>
    <row r="94" spans="1:6" x14ac:dyDescent="0.25">
      <c r="A94" t="s">
        <v>152</v>
      </c>
      <c r="B94" t="s">
        <v>112</v>
      </c>
      <c r="C94" t="s">
        <v>111</v>
      </c>
      <c r="D94">
        <v>2019</v>
      </c>
      <c r="E94" t="s">
        <v>107</v>
      </c>
      <c r="F94">
        <v>434670</v>
      </c>
    </row>
    <row r="95" spans="1:6" x14ac:dyDescent="0.25">
      <c r="A95" t="s">
        <v>152</v>
      </c>
      <c r="B95" t="s">
        <v>112</v>
      </c>
      <c r="C95" t="s">
        <v>115</v>
      </c>
      <c r="D95">
        <v>2019</v>
      </c>
      <c r="E95" t="s">
        <v>107</v>
      </c>
      <c r="F95">
        <v>288846.71526402031</v>
      </c>
    </row>
    <row r="96" spans="1:6" x14ac:dyDescent="0.25">
      <c r="A96" t="s">
        <v>152</v>
      </c>
      <c r="B96" t="s">
        <v>112</v>
      </c>
      <c r="C96" t="s">
        <v>116</v>
      </c>
      <c r="D96">
        <v>2019</v>
      </c>
      <c r="E96" t="s">
        <v>107</v>
      </c>
      <c r="F96">
        <v>46640</v>
      </c>
    </row>
    <row r="97" spans="1:6" x14ac:dyDescent="0.25">
      <c r="A97" t="s">
        <v>152</v>
      </c>
      <c r="B97" t="s">
        <v>112</v>
      </c>
      <c r="C97" t="s">
        <v>113</v>
      </c>
      <c r="D97">
        <v>2019</v>
      </c>
      <c r="E97" t="s">
        <v>108</v>
      </c>
      <c r="F97">
        <v>0</v>
      </c>
    </row>
    <row r="98" spans="1:6" x14ac:dyDescent="0.25">
      <c r="A98" t="s">
        <v>152</v>
      </c>
      <c r="B98" t="s">
        <v>112</v>
      </c>
      <c r="C98" t="s">
        <v>114</v>
      </c>
      <c r="D98">
        <v>2019</v>
      </c>
      <c r="E98" t="s">
        <v>108</v>
      </c>
      <c r="F98">
        <v>90723.841613092387</v>
      </c>
    </row>
    <row r="99" spans="1:6" x14ac:dyDescent="0.25">
      <c r="A99" t="s">
        <v>152</v>
      </c>
      <c r="B99" t="s">
        <v>112</v>
      </c>
      <c r="C99" t="s">
        <v>111</v>
      </c>
      <c r="D99">
        <v>2019</v>
      </c>
      <c r="E99" t="s">
        <v>108</v>
      </c>
      <c r="F99">
        <v>0</v>
      </c>
    </row>
    <row r="100" spans="1:6" x14ac:dyDescent="0.25">
      <c r="A100" t="s">
        <v>152</v>
      </c>
      <c r="B100" t="s">
        <v>112</v>
      </c>
      <c r="C100" t="s">
        <v>115</v>
      </c>
      <c r="D100">
        <v>2019</v>
      </c>
      <c r="E100" t="s">
        <v>108</v>
      </c>
      <c r="F100">
        <v>55514.664499432409</v>
      </c>
    </row>
    <row r="101" spans="1:6" x14ac:dyDescent="0.25">
      <c r="A101" t="s">
        <v>152</v>
      </c>
      <c r="B101" t="s">
        <v>112</v>
      </c>
      <c r="C101" t="s">
        <v>116</v>
      </c>
      <c r="D101">
        <v>2019</v>
      </c>
      <c r="E101" t="s">
        <v>108</v>
      </c>
      <c r="F101">
        <v>0</v>
      </c>
    </row>
    <row r="102" spans="1:6" x14ac:dyDescent="0.25">
      <c r="A102" t="s">
        <v>152</v>
      </c>
      <c r="B102" t="s">
        <v>112</v>
      </c>
      <c r="C102" t="s">
        <v>113</v>
      </c>
      <c r="D102">
        <v>2019</v>
      </c>
      <c r="E102" t="s">
        <v>109</v>
      </c>
      <c r="F102">
        <v>0</v>
      </c>
    </row>
    <row r="103" spans="1:6" x14ac:dyDescent="0.25">
      <c r="A103" t="s">
        <v>152</v>
      </c>
      <c r="B103" t="s">
        <v>112</v>
      </c>
      <c r="C103" t="s">
        <v>114</v>
      </c>
      <c r="D103">
        <v>2019</v>
      </c>
      <c r="E103" t="s">
        <v>109</v>
      </c>
      <c r="F103">
        <v>70620.560556759505</v>
      </c>
    </row>
    <row r="104" spans="1:6" x14ac:dyDescent="0.25">
      <c r="A104" t="s">
        <v>152</v>
      </c>
      <c r="B104" t="s">
        <v>112</v>
      </c>
      <c r="C104" t="s">
        <v>111</v>
      </c>
      <c r="D104">
        <v>2019</v>
      </c>
      <c r="E104" t="s">
        <v>109</v>
      </c>
      <c r="F104">
        <v>0</v>
      </c>
    </row>
    <row r="105" spans="1:6" x14ac:dyDescent="0.25">
      <c r="A105" t="s">
        <v>152</v>
      </c>
      <c r="B105" t="s">
        <v>112</v>
      </c>
      <c r="C105" t="s">
        <v>115</v>
      </c>
      <c r="D105">
        <v>2019</v>
      </c>
      <c r="E105" t="s">
        <v>109</v>
      </c>
      <c r="F105">
        <v>45828.620236547278</v>
      </c>
    </row>
    <row r="106" spans="1:6" x14ac:dyDescent="0.25">
      <c r="A106" t="s">
        <v>152</v>
      </c>
      <c r="B106" t="s">
        <v>112</v>
      </c>
      <c r="C106" t="s">
        <v>116</v>
      </c>
      <c r="D106">
        <v>2019</v>
      </c>
      <c r="E106" t="s">
        <v>109</v>
      </c>
      <c r="F106">
        <v>0</v>
      </c>
    </row>
    <row r="107" spans="1:6" x14ac:dyDescent="0.25">
      <c r="A107" t="s">
        <v>152</v>
      </c>
      <c r="B107" t="s">
        <v>112</v>
      </c>
      <c r="C107" t="s">
        <v>113</v>
      </c>
      <c r="D107">
        <v>2030</v>
      </c>
      <c r="E107" t="s">
        <v>107</v>
      </c>
      <c r="F107">
        <v>412730</v>
      </c>
    </row>
    <row r="108" spans="1:6" x14ac:dyDescent="0.25">
      <c r="A108" t="s">
        <v>152</v>
      </c>
      <c r="B108" t="s">
        <v>112</v>
      </c>
      <c r="C108" t="s">
        <v>114</v>
      </c>
      <c r="D108">
        <v>2030</v>
      </c>
      <c r="E108" t="s">
        <v>107</v>
      </c>
      <c r="F108">
        <v>1666924.2322591296</v>
      </c>
    </row>
    <row r="109" spans="1:6" x14ac:dyDescent="0.25">
      <c r="A109" t="s">
        <v>152</v>
      </c>
      <c r="B109" t="s">
        <v>112</v>
      </c>
      <c r="C109" t="s">
        <v>111</v>
      </c>
      <c r="D109">
        <v>2030</v>
      </c>
      <c r="E109" t="s">
        <v>107</v>
      </c>
      <c r="F109">
        <v>615211.36557101831</v>
      </c>
    </row>
    <row r="110" spans="1:6" x14ac:dyDescent="0.25">
      <c r="A110" t="s">
        <v>152</v>
      </c>
      <c r="B110" t="s">
        <v>112</v>
      </c>
      <c r="C110" t="s">
        <v>115</v>
      </c>
      <c r="D110">
        <v>2030</v>
      </c>
      <c r="E110" t="s">
        <v>107</v>
      </c>
      <c r="F110">
        <v>288846.71526402031</v>
      </c>
    </row>
    <row r="111" spans="1:6" x14ac:dyDescent="0.25">
      <c r="A111" t="s">
        <v>152</v>
      </c>
      <c r="B111" t="s">
        <v>112</v>
      </c>
      <c r="C111" t="s">
        <v>116</v>
      </c>
      <c r="D111">
        <v>2030</v>
      </c>
      <c r="E111" t="s">
        <v>107</v>
      </c>
      <c r="F111">
        <v>46640</v>
      </c>
    </row>
    <row r="112" spans="1:6" x14ac:dyDescent="0.25">
      <c r="A112" t="s">
        <v>152</v>
      </c>
      <c r="B112" t="s">
        <v>112</v>
      </c>
      <c r="C112" t="s">
        <v>113</v>
      </c>
      <c r="D112">
        <v>2030</v>
      </c>
      <c r="E112" t="s">
        <v>108</v>
      </c>
      <c r="F112">
        <v>0</v>
      </c>
    </row>
    <row r="113" spans="1:6" x14ac:dyDescent="0.25">
      <c r="A113" t="s">
        <v>152</v>
      </c>
      <c r="B113" t="s">
        <v>112</v>
      </c>
      <c r="C113" t="s">
        <v>114</v>
      </c>
      <c r="D113">
        <v>2030</v>
      </c>
      <c r="E113" t="s">
        <v>108</v>
      </c>
      <c r="F113">
        <v>71073.719384342752</v>
      </c>
    </row>
    <row r="114" spans="1:6" x14ac:dyDescent="0.25">
      <c r="A114" t="s">
        <v>152</v>
      </c>
      <c r="B114" t="s">
        <v>112</v>
      </c>
      <c r="C114" t="s">
        <v>111</v>
      </c>
      <c r="D114">
        <v>2030</v>
      </c>
      <c r="E114" t="s">
        <v>108</v>
      </c>
      <c r="F114">
        <v>0</v>
      </c>
    </row>
    <row r="115" spans="1:6" x14ac:dyDescent="0.25">
      <c r="A115" t="s">
        <v>152</v>
      </c>
      <c r="B115" t="s">
        <v>112</v>
      </c>
      <c r="C115" t="s">
        <v>115</v>
      </c>
      <c r="D115">
        <v>2030</v>
      </c>
      <c r="E115" t="s">
        <v>108</v>
      </c>
      <c r="F115">
        <v>75164.786728182051</v>
      </c>
    </row>
    <row r="116" spans="1:6" x14ac:dyDescent="0.25">
      <c r="A116" t="s">
        <v>152</v>
      </c>
      <c r="B116" t="s">
        <v>112</v>
      </c>
      <c r="C116" t="s">
        <v>116</v>
      </c>
      <c r="D116">
        <v>2030</v>
      </c>
      <c r="E116" t="s">
        <v>108</v>
      </c>
      <c r="F116">
        <v>0</v>
      </c>
    </row>
    <row r="117" spans="1:6" x14ac:dyDescent="0.25">
      <c r="A117" t="s">
        <v>152</v>
      </c>
      <c r="B117" t="s">
        <v>112</v>
      </c>
      <c r="C117" t="s">
        <v>113</v>
      </c>
      <c r="D117">
        <v>2030</v>
      </c>
      <c r="E117" t="s">
        <v>109</v>
      </c>
      <c r="F117">
        <v>0</v>
      </c>
    </row>
    <row r="118" spans="1:6" x14ac:dyDescent="0.25">
      <c r="A118" t="s">
        <v>152</v>
      </c>
      <c r="B118" t="s">
        <v>112</v>
      </c>
      <c r="C118" t="s">
        <v>114</v>
      </c>
      <c r="D118">
        <v>2030</v>
      </c>
      <c r="E118" t="s">
        <v>109</v>
      </c>
      <c r="F118">
        <v>0</v>
      </c>
    </row>
    <row r="119" spans="1:6" x14ac:dyDescent="0.25">
      <c r="A119" t="s">
        <v>152</v>
      </c>
      <c r="B119" t="s">
        <v>112</v>
      </c>
      <c r="C119" t="s">
        <v>111</v>
      </c>
      <c r="D119">
        <v>2030</v>
      </c>
      <c r="E119" t="s">
        <v>109</v>
      </c>
      <c r="F119">
        <v>0</v>
      </c>
    </row>
    <row r="120" spans="1:6" x14ac:dyDescent="0.25">
      <c r="A120" t="s">
        <v>152</v>
      </c>
      <c r="B120" t="s">
        <v>112</v>
      </c>
      <c r="C120" t="s">
        <v>115</v>
      </c>
      <c r="D120">
        <v>2030</v>
      </c>
      <c r="E120" t="s">
        <v>109</v>
      </c>
      <c r="F120">
        <v>116449.18079330676</v>
      </c>
    </row>
    <row r="121" spans="1:6" x14ac:dyDescent="0.25">
      <c r="A121" t="s">
        <v>152</v>
      </c>
      <c r="B121" t="s">
        <v>112</v>
      </c>
      <c r="C121" t="s">
        <v>116</v>
      </c>
      <c r="D121">
        <v>2030</v>
      </c>
      <c r="E121" t="s">
        <v>109</v>
      </c>
      <c r="F121">
        <v>0</v>
      </c>
    </row>
    <row r="122" spans="1:6" x14ac:dyDescent="0.25">
      <c r="A122" t="s">
        <v>152</v>
      </c>
      <c r="B122" t="s">
        <v>112</v>
      </c>
      <c r="C122" t="s">
        <v>113</v>
      </c>
      <c r="D122">
        <v>2050</v>
      </c>
      <c r="E122" t="s">
        <v>107</v>
      </c>
      <c r="F122">
        <v>412730</v>
      </c>
    </row>
    <row r="123" spans="1:6" x14ac:dyDescent="0.25">
      <c r="A123" t="s">
        <v>152</v>
      </c>
      <c r="B123" t="s">
        <v>112</v>
      </c>
      <c r="C123" t="s">
        <v>114</v>
      </c>
      <c r="D123">
        <v>2050</v>
      </c>
      <c r="E123" t="s">
        <v>107</v>
      </c>
      <c r="F123">
        <v>1450274.5935739079</v>
      </c>
    </row>
    <row r="124" spans="1:6" x14ac:dyDescent="0.25">
      <c r="A124" t="s">
        <v>152</v>
      </c>
      <c r="B124" t="s">
        <v>112</v>
      </c>
      <c r="C124" t="s">
        <v>111</v>
      </c>
      <c r="D124">
        <v>2050</v>
      </c>
      <c r="E124" t="s">
        <v>107</v>
      </c>
      <c r="F124">
        <v>831861.00425624021</v>
      </c>
    </row>
    <row r="125" spans="1:6" x14ac:dyDescent="0.25">
      <c r="A125" t="s">
        <v>152</v>
      </c>
      <c r="B125" t="s">
        <v>112</v>
      </c>
      <c r="C125" t="s">
        <v>115</v>
      </c>
      <c r="D125">
        <v>2050</v>
      </c>
      <c r="E125" t="s">
        <v>107</v>
      </c>
      <c r="F125">
        <v>288846.71526402031</v>
      </c>
    </row>
    <row r="126" spans="1:6" x14ac:dyDescent="0.25">
      <c r="A126" t="s">
        <v>152</v>
      </c>
      <c r="B126" t="s">
        <v>112</v>
      </c>
      <c r="C126" t="s">
        <v>116</v>
      </c>
      <c r="D126">
        <v>2050</v>
      </c>
      <c r="E126" t="s">
        <v>107</v>
      </c>
      <c r="F126">
        <v>46640</v>
      </c>
    </row>
    <row r="127" spans="1:6" x14ac:dyDescent="0.25">
      <c r="A127" t="s">
        <v>152</v>
      </c>
      <c r="B127" t="s">
        <v>112</v>
      </c>
      <c r="C127" t="s">
        <v>113</v>
      </c>
      <c r="D127">
        <v>2050</v>
      </c>
      <c r="E127" t="s">
        <v>108</v>
      </c>
      <c r="F127">
        <v>0</v>
      </c>
    </row>
    <row r="128" spans="1:6" x14ac:dyDescent="0.25">
      <c r="A128" t="s">
        <v>152</v>
      </c>
      <c r="B128" t="s">
        <v>112</v>
      </c>
      <c r="C128" t="s">
        <v>114</v>
      </c>
      <c r="D128">
        <v>2050</v>
      </c>
      <c r="E128" t="s">
        <v>108</v>
      </c>
      <c r="F128">
        <v>0</v>
      </c>
    </row>
    <row r="129" spans="1:6" x14ac:dyDescent="0.25">
      <c r="A129" t="s">
        <v>152</v>
      </c>
      <c r="B129" t="s">
        <v>112</v>
      </c>
      <c r="C129" t="s">
        <v>111</v>
      </c>
      <c r="D129">
        <v>2050</v>
      </c>
      <c r="E129" t="s">
        <v>108</v>
      </c>
      <c r="F129">
        <v>0</v>
      </c>
    </row>
    <row r="130" spans="1:6" x14ac:dyDescent="0.25">
      <c r="A130" t="s">
        <v>152</v>
      </c>
      <c r="B130" t="s">
        <v>112</v>
      </c>
      <c r="C130" t="s">
        <v>115</v>
      </c>
      <c r="D130">
        <v>2050</v>
      </c>
      <c r="E130" t="s">
        <v>108</v>
      </c>
      <c r="F130">
        <v>146238.5061125248</v>
      </c>
    </row>
    <row r="131" spans="1:6" x14ac:dyDescent="0.25">
      <c r="A131" t="s">
        <v>152</v>
      </c>
      <c r="B131" t="s">
        <v>112</v>
      </c>
      <c r="C131" t="s">
        <v>116</v>
      </c>
      <c r="D131">
        <v>2050</v>
      </c>
      <c r="E131" t="s">
        <v>108</v>
      </c>
      <c r="F131">
        <v>0</v>
      </c>
    </row>
    <row r="132" spans="1:6" x14ac:dyDescent="0.25">
      <c r="A132" t="s">
        <v>152</v>
      </c>
      <c r="B132" t="s">
        <v>112</v>
      </c>
      <c r="C132" t="s">
        <v>113</v>
      </c>
      <c r="D132">
        <v>2050</v>
      </c>
      <c r="E132" t="s">
        <v>109</v>
      </c>
      <c r="F132">
        <v>0</v>
      </c>
    </row>
    <row r="133" spans="1:6" x14ac:dyDescent="0.25">
      <c r="A133" t="s">
        <v>152</v>
      </c>
      <c r="B133" t="s">
        <v>112</v>
      </c>
      <c r="C133" t="s">
        <v>114</v>
      </c>
      <c r="D133">
        <v>2050</v>
      </c>
      <c r="E133" t="s">
        <v>109</v>
      </c>
      <c r="F133">
        <v>0</v>
      </c>
    </row>
    <row r="134" spans="1:6" x14ac:dyDescent="0.25">
      <c r="A134" t="s">
        <v>152</v>
      </c>
      <c r="B134" t="s">
        <v>112</v>
      </c>
      <c r="C134" t="s">
        <v>111</v>
      </c>
      <c r="D134">
        <v>2050</v>
      </c>
      <c r="E134" t="s">
        <v>109</v>
      </c>
      <c r="F134">
        <v>0</v>
      </c>
    </row>
    <row r="135" spans="1:6" x14ac:dyDescent="0.25">
      <c r="A135" t="s">
        <v>152</v>
      </c>
      <c r="B135" t="s">
        <v>112</v>
      </c>
      <c r="C135" t="s">
        <v>115</v>
      </c>
      <c r="D135">
        <v>2050</v>
      </c>
      <c r="E135" t="s">
        <v>109</v>
      </c>
      <c r="F135">
        <v>116449.18079330676</v>
      </c>
    </row>
    <row r="136" spans="1:6" x14ac:dyDescent="0.25">
      <c r="A136" t="s">
        <v>152</v>
      </c>
      <c r="B136" t="s">
        <v>112</v>
      </c>
      <c r="C136" t="s">
        <v>116</v>
      </c>
      <c r="D136">
        <v>2050</v>
      </c>
      <c r="E136" t="s">
        <v>109</v>
      </c>
      <c r="F136">
        <v>0</v>
      </c>
    </row>
    <row r="137" spans="1:6" x14ac:dyDescent="0.25">
      <c r="A137" t="s">
        <v>152</v>
      </c>
      <c r="B137" t="s">
        <v>117</v>
      </c>
      <c r="C137" t="s">
        <v>113</v>
      </c>
      <c r="D137">
        <v>2019</v>
      </c>
      <c r="E137" t="s">
        <v>107</v>
      </c>
      <c r="F137">
        <v>178500</v>
      </c>
    </row>
    <row r="138" spans="1:6" x14ac:dyDescent="0.25">
      <c r="A138" t="s">
        <v>152</v>
      </c>
      <c r="B138" t="s">
        <v>117</v>
      </c>
      <c r="C138" t="s">
        <v>114</v>
      </c>
      <c r="D138">
        <v>2019</v>
      </c>
      <c r="E138" t="s">
        <v>107</v>
      </c>
      <c r="F138">
        <v>552170.40216985194</v>
      </c>
    </row>
    <row r="139" spans="1:6" x14ac:dyDescent="0.25">
      <c r="A139" t="s">
        <v>152</v>
      </c>
      <c r="B139" t="s">
        <v>117</v>
      </c>
      <c r="C139" t="s">
        <v>111</v>
      </c>
      <c r="D139">
        <v>2019</v>
      </c>
      <c r="E139" t="s">
        <v>107</v>
      </c>
      <c r="F139">
        <v>127230</v>
      </c>
    </row>
    <row r="140" spans="1:6" x14ac:dyDescent="0.25">
      <c r="A140" t="s">
        <v>152</v>
      </c>
      <c r="B140" t="s">
        <v>117</v>
      </c>
      <c r="C140" t="s">
        <v>115</v>
      </c>
      <c r="D140">
        <v>2019</v>
      </c>
      <c r="E140" t="s">
        <v>107</v>
      </c>
      <c r="F140">
        <v>71807.284735979716</v>
      </c>
    </row>
    <row r="141" spans="1:6" x14ac:dyDescent="0.25">
      <c r="A141" t="s">
        <v>152</v>
      </c>
      <c r="B141" t="s">
        <v>117</v>
      </c>
      <c r="C141" t="s">
        <v>116</v>
      </c>
      <c r="D141">
        <v>2019</v>
      </c>
      <c r="E141" t="s">
        <v>107</v>
      </c>
      <c r="F141">
        <v>19220</v>
      </c>
    </row>
    <row r="142" spans="1:6" x14ac:dyDescent="0.25">
      <c r="A142" t="s">
        <v>152</v>
      </c>
      <c r="B142" t="s">
        <v>117</v>
      </c>
      <c r="C142" t="s">
        <v>113</v>
      </c>
      <c r="D142">
        <v>2019</v>
      </c>
      <c r="E142" t="s">
        <v>108</v>
      </c>
      <c r="F142">
        <v>0</v>
      </c>
    </row>
    <row r="143" spans="1:6" x14ac:dyDescent="0.25">
      <c r="A143" t="s">
        <v>152</v>
      </c>
      <c r="B143" t="s">
        <v>117</v>
      </c>
      <c r="C143" t="s">
        <v>114</v>
      </c>
      <c r="D143">
        <v>2019</v>
      </c>
      <c r="E143" t="s">
        <v>108</v>
      </c>
      <c r="F143">
        <v>9778.158386907593</v>
      </c>
    </row>
    <row r="144" spans="1:6" x14ac:dyDescent="0.25">
      <c r="A144" t="s">
        <v>152</v>
      </c>
      <c r="B144" t="s">
        <v>117</v>
      </c>
      <c r="C144" t="s">
        <v>111</v>
      </c>
      <c r="D144">
        <v>2019</v>
      </c>
      <c r="E144" t="s">
        <v>108</v>
      </c>
      <c r="F144">
        <v>0</v>
      </c>
    </row>
    <row r="145" spans="1:6" x14ac:dyDescent="0.25">
      <c r="A145" t="s">
        <v>152</v>
      </c>
      <c r="B145" t="s">
        <v>117</v>
      </c>
      <c r="C145" t="s">
        <v>115</v>
      </c>
      <c r="D145">
        <v>2019</v>
      </c>
      <c r="E145" t="s">
        <v>108</v>
      </c>
      <c r="F145">
        <v>5983.3355005675821</v>
      </c>
    </row>
    <row r="146" spans="1:6" x14ac:dyDescent="0.25">
      <c r="A146" t="s">
        <v>152</v>
      </c>
      <c r="B146" t="s">
        <v>117</v>
      </c>
      <c r="C146" t="s">
        <v>116</v>
      </c>
      <c r="D146">
        <v>2019</v>
      </c>
      <c r="E146" t="s">
        <v>108</v>
      </c>
      <c r="F146">
        <v>0</v>
      </c>
    </row>
    <row r="147" spans="1:6" x14ac:dyDescent="0.25">
      <c r="A147" t="s">
        <v>152</v>
      </c>
      <c r="B147" t="s">
        <v>117</v>
      </c>
      <c r="C147" t="s">
        <v>113</v>
      </c>
      <c r="D147">
        <v>2019</v>
      </c>
      <c r="E147" t="s">
        <v>109</v>
      </c>
      <c r="F147">
        <v>0</v>
      </c>
    </row>
    <row r="148" spans="1:6" x14ac:dyDescent="0.25">
      <c r="A148" t="s">
        <v>152</v>
      </c>
      <c r="B148" t="s">
        <v>117</v>
      </c>
      <c r="C148" t="s">
        <v>114</v>
      </c>
      <c r="D148">
        <v>2019</v>
      </c>
      <c r="E148" t="s">
        <v>109</v>
      </c>
      <c r="F148">
        <v>7611.4394432404806</v>
      </c>
    </row>
    <row r="149" spans="1:6" x14ac:dyDescent="0.25">
      <c r="A149" t="s">
        <v>152</v>
      </c>
      <c r="B149" t="s">
        <v>117</v>
      </c>
      <c r="C149" t="s">
        <v>111</v>
      </c>
      <c r="D149">
        <v>2019</v>
      </c>
      <c r="E149" t="s">
        <v>109</v>
      </c>
      <c r="F149">
        <v>0</v>
      </c>
    </row>
    <row r="150" spans="1:6" x14ac:dyDescent="0.25">
      <c r="A150" t="s">
        <v>152</v>
      </c>
      <c r="B150" t="s">
        <v>117</v>
      </c>
      <c r="C150" t="s">
        <v>115</v>
      </c>
      <c r="D150">
        <v>2019</v>
      </c>
      <c r="E150" t="s">
        <v>109</v>
      </c>
      <c r="F150">
        <v>4939.3797634527136</v>
      </c>
    </row>
    <row r="151" spans="1:6" x14ac:dyDescent="0.25">
      <c r="A151" t="s">
        <v>152</v>
      </c>
      <c r="B151" t="s">
        <v>117</v>
      </c>
      <c r="C151" t="s">
        <v>116</v>
      </c>
      <c r="D151">
        <v>2019</v>
      </c>
      <c r="E151" t="s">
        <v>109</v>
      </c>
      <c r="F151">
        <v>0</v>
      </c>
    </row>
    <row r="152" spans="1:6" x14ac:dyDescent="0.25">
      <c r="A152" t="s">
        <v>152</v>
      </c>
      <c r="B152" t="s">
        <v>117</v>
      </c>
      <c r="C152" t="s">
        <v>113</v>
      </c>
      <c r="D152">
        <v>2030</v>
      </c>
      <c r="E152" t="s">
        <v>107</v>
      </c>
      <c r="F152">
        <v>178500</v>
      </c>
    </row>
    <row r="153" spans="1:6" x14ac:dyDescent="0.25">
      <c r="A153" t="s">
        <v>152</v>
      </c>
      <c r="B153" t="s">
        <v>117</v>
      </c>
      <c r="C153" t="s">
        <v>114</v>
      </c>
      <c r="D153">
        <v>2030</v>
      </c>
      <c r="E153" t="s">
        <v>107</v>
      </c>
      <c r="F153">
        <v>532711.76774087024</v>
      </c>
    </row>
    <row r="154" spans="1:6" x14ac:dyDescent="0.25">
      <c r="A154" t="s">
        <v>152</v>
      </c>
      <c r="B154" t="s">
        <v>117</v>
      </c>
      <c r="C154" t="s">
        <v>111</v>
      </c>
      <c r="D154">
        <v>2030</v>
      </c>
      <c r="E154" t="s">
        <v>107</v>
      </c>
      <c r="F154">
        <v>146688.63442898169</v>
      </c>
    </row>
    <row r="155" spans="1:6" x14ac:dyDescent="0.25">
      <c r="A155" t="s">
        <v>152</v>
      </c>
      <c r="B155" t="s">
        <v>117</v>
      </c>
      <c r="C155" t="s">
        <v>115</v>
      </c>
      <c r="D155">
        <v>2030</v>
      </c>
      <c r="E155" t="s">
        <v>107</v>
      </c>
      <c r="F155">
        <v>71807.284735979716</v>
      </c>
    </row>
    <row r="156" spans="1:6" x14ac:dyDescent="0.25">
      <c r="A156" t="s">
        <v>152</v>
      </c>
      <c r="B156" t="s">
        <v>117</v>
      </c>
      <c r="C156" t="s">
        <v>116</v>
      </c>
      <c r="D156">
        <v>2030</v>
      </c>
      <c r="E156" t="s">
        <v>107</v>
      </c>
      <c r="F156">
        <v>19220</v>
      </c>
    </row>
    <row r="157" spans="1:6" x14ac:dyDescent="0.25">
      <c r="A157" t="s">
        <v>152</v>
      </c>
      <c r="B157" t="s">
        <v>117</v>
      </c>
      <c r="C157" t="s">
        <v>113</v>
      </c>
      <c r="D157">
        <v>2030</v>
      </c>
      <c r="E157" t="s">
        <v>108</v>
      </c>
      <c r="F157">
        <v>0</v>
      </c>
    </row>
    <row r="158" spans="1:6" x14ac:dyDescent="0.25">
      <c r="A158" t="s">
        <v>152</v>
      </c>
      <c r="B158" t="s">
        <v>117</v>
      </c>
      <c r="C158" t="s">
        <v>114</v>
      </c>
      <c r="D158">
        <v>2030</v>
      </c>
      <c r="E158" t="s">
        <v>108</v>
      </c>
      <c r="F158">
        <v>7660.2806156572242</v>
      </c>
    </row>
    <row r="159" spans="1:6" x14ac:dyDescent="0.25">
      <c r="A159" t="s">
        <v>152</v>
      </c>
      <c r="B159" t="s">
        <v>117</v>
      </c>
      <c r="C159" t="s">
        <v>111</v>
      </c>
      <c r="D159">
        <v>2030</v>
      </c>
      <c r="E159" t="s">
        <v>108</v>
      </c>
      <c r="F159">
        <v>0</v>
      </c>
    </row>
    <row r="160" spans="1:6" x14ac:dyDescent="0.25">
      <c r="A160" t="s">
        <v>152</v>
      </c>
      <c r="B160" t="s">
        <v>117</v>
      </c>
      <c r="C160" t="s">
        <v>115</v>
      </c>
      <c r="D160">
        <v>2030</v>
      </c>
      <c r="E160" t="s">
        <v>108</v>
      </c>
      <c r="F160">
        <v>8101.213271817951</v>
      </c>
    </row>
    <row r="161" spans="1:6" x14ac:dyDescent="0.25">
      <c r="A161" t="s">
        <v>152</v>
      </c>
      <c r="B161" t="s">
        <v>117</v>
      </c>
      <c r="C161" t="s">
        <v>116</v>
      </c>
      <c r="D161">
        <v>2030</v>
      </c>
      <c r="E161" t="s">
        <v>108</v>
      </c>
      <c r="F161">
        <v>0</v>
      </c>
    </row>
    <row r="162" spans="1:6" x14ac:dyDescent="0.25">
      <c r="A162" t="s">
        <v>152</v>
      </c>
      <c r="B162" t="s">
        <v>117</v>
      </c>
      <c r="C162" t="s">
        <v>113</v>
      </c>
      <c r="D162">
        <v>2030</v>
      </c>
      <c r="E162" t="s">
        <v>109</v>
      </c>
      <c r="F162">
        <v>0</v>
      </c>
    </row>
    <row r="163" spans="1:6" x14ac:dyDescent="0.25">
      <c r="A163" t="s">
        <v>152</v>
      </c>
      <c r="B163" t="s">
        <v>117</v>
      </c>
      <c r="C163" t="s">
        <v>114</v>
      </c>
      <c r="D163">
        <v>2030</v>
      </c>
      <c r="E163" t="s">
        <v>109</v>
      </c>
      <c r="F163">
        <v>0</v>
      </c>
    </row>
    <row r="164" spans="1:6" x14ac:dyDescent="0.25">
      <c r="A164" t="s">
        <v>152</v>
      </c>
      <c r="B164" t="s">
        <v>117</v>
      </c>
      <c r="C164" t="s">
        <v>111</v>
      </c>
      <c r="D164">
        <v>2030</v>
      </c>
      <c r="E164" t="s">
        <v>109</v>
      </c>
      <c r="F164">
        <v>0</v>
      </c>
    </row>
    <row r="165" spans="1:6" x14ac:dyDescent="0.25">
      <c r="A165" t="s">
        <v>152</v>
      </c>
      <c r="B165" t="s">
        <v>117</v>
      </c>
      <c r="C165" t="s">
        <v>115</v>
      </c>
      <c r="D165">
        <v>2030</v>
      </c>
      <c r="E165" t="s">
        <v>109</v>
      </c>
      <c r="F165">
        <v>12550.819206693192</v>
      </c>
    </row>
    <row r="166" spans="1:6" x14ac:dyDescent="0.25">
      <c r="A166" t="s">
        <v>152</v>
      </c>
      <c r="B166" t="s">
        <v>117</v>
      </c>
      <c r="C166" t="s">
        <v>116</v>
      </c>
      <c r="D166">
        <v>2030</v>
      </c>
      <c r="E166" t="s">
        <v>109</v>
      </c>
      <c r="F166">
        <v>0</v>
      </c>
    </row>
    <row r="167" spans="1:6" x14ac:dyDescent="0.25">
      <c r="A167" t="s">
        <v>152</v>
      </c>
      <c r="B167" t="s">
        <v>117</v>
      </c>
      <c r="C167" t="s">
        <v>113</v>
      </c>
      <c r="D167">
        <v>2050</v>
      </c>
      <c r="E167" t="s">
        <v>107</v>
      </c>
      <c r="F167">
        <v>178500</v>
      </c>
    </row>
    <row r="168" spans="1:6" x14ac:dyDescent="0.25">
      <c r="A168" t="s">
        <v>152</v>
      </c>
      <c r="B168" t="s">
        <v>117</v>
      </c>
      <c r="C168" t="s">
        <v>114</v>
      </c>
      <c r="D168">
        <v>2050</v>
      </c>
      <c r="E168" t="s">
        <v>107</v>
      </c>
      <c r="F168">
        <v>509361.4064260922</v>
      </c>
    </row>
    <row r="169" spans="1:6" x14ac:dyDescent="0.25">
      <c r="A169" t="s">
        <v>152</v>
      </c>
      <c r="B169" t="s">
        <v>117</v>
      </c>
      <c r="C169" t="s">
        <v>111</v>
      </c>
      <c r="D169">
        <v>2050</v>
      </c>
      <c r="E169" t="s">
        <v>107</v>
      </c>
      <c r="F169">
        <v>170038.99574375973</v>
      </c>
    </row>
    <row r="170" spans="1:6" x14ac:dyDescent="0.25">
      <c r="A170" t="s">
        <v>152</v>
      </c>
      <c r="B170" t="s">
        <v>117</v>
      </c>
      <c r="C170" t="s">
        <v>115</v>
      </c>
      <c r="D170">
        <v>2050</v>
      </c>
      <c r="E170" t="s">
        <v>107</v>
      </c>
      <c r="F170">
        <v>71807.284735979716</v>
      </c>
    </row>
    <row r="171" spans="1:6" x14ac:dyDescent="0.25">
      <c r="A171" t="s">
        <v>152</v>
      </c>
      <c r="B171" t="s">
        <v>117</v>
      </c>
      <c r="C171" t="s">
        <v>116</v>
      </c>
      <c r="D171">
        <v>2050</v>
      </c>
      <c r="E171" t="s">
        <v>107</v>
      </c>
      <c r="F171">
        <v>19220</v>
      </c>
    </row>
    <row r="172" spans="1:6" x14ac:dyDescent="0.25">
      <c r="A172" t="s">
        <v>152</v>
      </c>
      <c r="B172" t="s">
        <v>117</v>
      </c>
      <c r="C172" t="s">
        <v>113</v>
      </c>
      <c r="D172">
        <v>2050</v>
      </c>
      <c r="E172" t="s">
        <v>108</v>
      </c>
      <c r="F172">
        <v>0</v>
      </c>
    </row>
    <row r="173" spans="1:6" x14ac:dyDescent="0.25">
      <c r="A173" t="s">
        <v>152</v>
      </c>
      <c r="B173" t="s">
        <v>117</v>
      </c>
      <c r="C173" t="s">
        <v>114</v>
      </c>
      <c r="D173">
        <v>2050</v>
      </c>
      <c r="E173" t="s">
        <v>108</v>
      </c>
      <c r="F173">
        <v>0</v>
      </c>
    </row>
    <row r="174" spans="1:6" x14ac:dyDescent="0.25">
      <c r="A174" t="s">
        <v>152</v>
      </c>
      <c r="B174" t="s">
        <v>117</v>
      </c>
      <c r="C174" t="s">
        <v>111</v>
      </c>
      <c r="D174">
        <v>2050</v>
      </c>
      <c r="E174" t="s">
        <v>108</v>
      </c>
      <c r="F174">
        <v>0</v>
      </c>
    </row>
    <row r="175" spans="1:6" x14ac:dyDescent="0.25">
      <c r="A175" t="s">
        <v>152</v>
      </c>
      <c r="B175" t="s">
        <v>117</v>
      </c>
      <c r="C175" t="s">
        <v>115</v>
      </c>
      <c r="D175">
        <v>2050</v>
      </c>
      <c r="E175" t="s">
        <v>108</v>
      </c>
      <c r="F175">
        <v>15761.493887475173</v>
      </c>
    </row>
    <row r="176" spans="1:6" x14ac:dyDescent="0.25">
      <c r="A176" t="s">
        <v>152</v>
      </c>
      <c r="B176" t="s">
        <v>117</v>
      </c>
      <c r="C176" t="s">
        <v>116</v>
      </c>
      <c r="D176">
        <v>2050</v>
      </c>
      <c r="E176" t="s">
        <v>108</v>
      </c>
      <c r="F176">
        <v>0</v>
      </c>
    </row>
    <row r="177" spans="1:6" x14ac:dyDescent="0.25">
      <c r="A177" t="s">
        <v>152</v>
      </c>
      <c r="B177" t="s">
        <v>117</v>
      </c>
      <c r="C177" t="s">
        <v>113</v>
      </c>
      <c r="D177">
        <v>2050</v>
      </c>
      <c r="E177" t="s">
        <v>109</v>
      </c>
      <c r="F177">
        <v>0</v>
      </c>
    </row>
    <row r="178" spans="1:6" x14ac:dyDescent="0.25">
      <c r="A178" t="s">
        <v>152</v>
      </c>
      <c r="B178" t="s">
        <v>117</v>
      </c>
      <c r="C178" t="s">
        <v>114</v>
      </c>
      <c r="D178">
        <v>2050</v>
      </c>
      <c r="E178" t="s">
        <v>109</v>
      </c>
      <c r="F178">
        <v>0</v>
      </c>
    </row>
    <row r="179" spans="1:6" x14ac:dyDescent="0.25">
      <c r="A179" t="s">
        <v>152</v>
      </c>
      <c r="B179" t="s">
        <v>117</v>
      </c>
      <c r="C179" t="s">
        <v>111</v>
      </c>
      <c r="D179">
        <v>2050</v>
      </c>
      <c r="E179" t="s">
        <v>109</v>
      </c>
      <c r="F179">
        <v>0</v>
      </c>
    </row>
    <row r="180" spans="1:6" x14ac:dyDescent="0.25">
      <c r="A180" t="s">
        <v>152</v>
      </c>
      <c r="B180" t="s">
        <v>117</v>
      </c>
      <c r="C180" t="s">
        <v>115</v>
      </c>
      <c r="D180">
        <v>2050</v>
      </c>
      <c r="E180" t="s">
        <v>109</v>
      </c>
      <c r="F180">
        <v>12550.819206693192</v>
      </c>
    </row>
    <row r="181" spans="1:6" x14ac:dyDescent="0.25">
      <c r="A181" t="s">
        <v>152</v>
      </c>
      <c r="B181" t="s">
        <v>117</v>
      </c>
      <c r="C181" t="s">
        <v>116</v>
      </c>
      <c r="D181">
        <v>2050</v>
      </c>
      <c r="E181" t="s">
        <v>109</v>
      </c>
      <c r="F18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1009"/>
  <sheetViews>
    <sheetView topLeftCell="A487" workbookViewId="0">
      <selection activeCell="B506" sqref="B506:K1009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96</v>
      </c>
      <c r="D1" t="s">
        <v>3</v>
      </c>
      <c r="E1" t="s">
        <v>97</v>
      </c>
      <c r="F1" t="s">
        <v>94</v>
      </c>
      <c r="G1" t="s">
        <v>98</v>
      </c>
      <c r="H1" t="s">
        <v>99</v>
      </c>
      <c r="I1" t="s">
        <v>100</v>
      </c>
      <c r="J1" t="s">
        <v>101</v>
      </c>
      <c r="K1" t="s">
        <v>102</v>
      </c>
    </row>
    <row r="2" spans="1:11" x14ac:dyDescent="0.25">
      <c r="A2" t="s">
        <v>151</v>
      </c>
      <c r="B2" t="s">
        <v>27</v>
      </c>
      <c r="C2" t="s">
        <v>28</v>
      </c>
      <c r="D2">
        <v>2019</v>
      </c>
      <c r="E2" t="s">
        <v>118</v>
      </c>
      <c r="F2" t="s">
        <v>107</v>
      </c>
      <c r="G2" t="s">
        <v>51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151</v>
      </c>
      <c r="B3" t="s">
        <v>27</v>
      </c>
      <c r="C3" t="s">
        <v>33</v>
      </c>
      <c r="D3">
        <v>2019</v>
      </c>
      <c r="E3" t="s">
        <v>118</v>
      </c>
      <c r="F3" t="s">
        <v>107</v>
      </c>
      <c r="G3" t="s">
        <v>51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151</v>
      </c>
      <c r="B4" t="s">
        <v>27</v>
      </c>
      <c r="C4" t="s">
        <v>71</v>
      </c>
      <c r="D4">
        <v>2019</v>
      </c>
      <c r="E4" t="s">
        <v>118</v>
      </c>
      <c r="F4" t="s">
        <v>107</v>
      </c>
      <c r="G4" t="s">
        <v>51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151</v>
      </c>
      <c r="B5" t="s">
        <v>27</v>
      </c>
      <c r="C5" t="s">
        <v>52</v>
      </c>
      <c r="D5">
        <v>2019</v>
      </c>
      <c r="E5" t="s">
        <v>118</v>
      </c>
      <c r="F5" t="s">
        <v>107</v>
      </c>
      <c r="G5" t="s">
        <v>52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151</v>
      </c>
      <c r="B6" t="s">
        <v>27</v>
      </c>
      <c r="C6" t="s">
        <v>29</v>
      </c>
      <c r="D6">
        <v>2019</v>
      </c>
      <c r="E6" t="s">
        <v>118</v>
      </c>
      <c r="F6" t="s">
        <v>107</v>
      </c>
      <c r="G6" t="s">
        <v>29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151</v>
      </c>
      <c r="B7" t="s">
        <v>27</v>
      </c>
      <c r="C7" t="s">
        <v>30</v>
      </c>
      <c r="D7">
        <v>2019</v>
      </c>
      <c r="E7" t="s">
        <v>118</v>
      </c>
      <c r="F7" t="s">
        <v>107</v>
      </c>
      <c r="G7" t="s">
        <v>30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151</v>
      </c>
      <c r="B8" t="s">
        <v>27</v>
      </c>
      <c r="C8" t="s">
        <v>54</v>
      </c>
      <c r="D8">
        <v>2019</v>
      </c>
      <c r="E8" t="s">
        <v>118</v>
      </c>
      <c r="F8" t="s">
        <v>107</v>
      </c>
      <c r="G8" t="s">
        <v>54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151</v>
      </c>
      <c r="B9" t="s">
        <v>27</v>
      </c>
      <c r="C9" t="s">
        <v>53</v>
      </c>
      <c r="D9">
        <v>2019</v>
      </c>
      <c r="E9" t="s">
        <v>118</v>
      </c>
      <c r="F9" t="s">
        <v>107</v>
      </c>
      <c r="G9" t="s">
        <v>53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151</v>
      </c>
      <c r="B10" t="s">
        <v>27</v>
      </c>
      <c r="C10" t="s">
        <v>40</v>
      </c>
      <c r="D10">
        <v>2019</v>
      </c>
      <c r="E10" t="s">
        <v>118</v>
      </c>
      <c r="F10" t="s">
        <v>107</v>
      </c>
      <c r="G10" t="s">
        <v>40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151</v>
      </c>
      <c r="B11" t="s">
        <v>27</v>
      </c>
      <c r="C11" t="s">
        <v>79</v>
      </c>
      <c r="D11">
        <v>2019</v>
      </c>
      <c r="E11" t="s">
        <v>118</v>
      </c>
      <c r="F11" t="s">
        <v>107</v>
      </c>
      <c r="G11" t="s">
        <v>79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151</v>
      </c>
      <c r="B12" t="s">
        <v>27</v>
      </c>
      <c r="C12" t="s">
        <v>74</v>
      </c>
      <c r="D12">
        <v>2019</v>
      </c>
      <c r="E12" t="s">
        <v>118</v>
      </c>
      <c r="F12" t="s">
        <v>107</v>
      </c>
      <c r="G12" t="s">
        <v>51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151</v>
      </c>
      <c r="B13" t="s">
        <v>27</v>
      </c>
      <c r="C13" t="s">
        <v>77</v>
      </c>
      <c r="D13">
        <v>2019</v>
      </c>
      <c r="E13" t="s">
        <v>118</v>
      </c>
      <c r="F13" t="s">
        <v>107</v>
      </c>
      <c r="G13" t="s">
        <v>77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151</v>
      </c>
      <c r="B14" t="s">
        <v>27</v>
      </c>
      <c r="C14" t="s">
        <v>64</v>
      </c>
      <c r="D14">
        <v>2019</v>
      </c>
      <c r="E14" t="s">
        <v>118</v>
      </c>
      <c r="F14" t="s">
        <v>107</v>
      </c>
      <c r="G14" t="s">
        <v>64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151</v>
      </c>
      <c r="B15" t="s">
        <v>27</v>
      </c>
      <c r="C15" t="s">
        <v>119</v>
      </c>
      <c r="D15">
        <v>2019</v>
      </c>
      <c r="E15" t="s">
        <v>118</v>
      </c>
      <c r="F15" t="s">
        <v>107</v>
      </c>
      <c r="G15" t="s">
        <v>52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151</v>
      </c>
      <c r="B16" t="s">
        <v>27</v>
      </c>
      <c r="C16" t="s">
        <v>28</v>
      </c>
      <c r="D16">
        <v>2030</v>
      </c>
      <c r="E16" t="s">
        <v>118</v>
      </c>
      <c r="F16" t="s">
        <v>107</v>
      </c>
      <c r="G16" t="s">
        <v>51</v>
      </c>
      <c r="H16">
        <v>662905.40271656995</v>
      </c>
      <c r="I16">
        <v>4646966.8730431553</v>
      </c>
      <c r="J16">
        <v>2187792.0038287179</v>
      </c>
      <c r="K16">
        <v>2187792.0038287179</v>
      </c>
    </row>
    <row r="17" spans="1:11" x14ac:dyDescent="0.25">
      <c r="A17" t="s">
        <v>151</v>
      </c>
      <c r="B17" t="s">
        <v>27</v>
      </c>
      <c r="C17" t="s">
        <v>33</v>
      </c>
      <c r="D17">
        <v>2030</v>
      </c>
      <c r="E17" t="s">
        <v>118</v>
      </c>
      <c r="F17" t="s">
        <v>107</v>
      </c>
      <c r="G17" t="s">
        <v>51</v>
      </c>
      <c r="H17">
        <v>132581.08054331402</v>
      </c>
      <c r="I17">
        <v>511762.97089719214</v>
      </c>
      <c r="J17">
        <v>219148.04094894335</v>
      </c>
      <c r="K17">
        <v>219148.04094894335</v>
      </c>
    </row>
    <row r="18" spans="1:11" x14ac:dyDescent="0.25">
      <c r="A18" t="s">
        <v>151</v>
      </c>
      <c r="B18" t="s">
        <v>27</v>
      </c>
      <c r="C18" t="s">
        <v>71</v>
      </c>
      <c r="D18">
        <v>2030</v>
      </c>
      <c r="E18" t="s">
        <v>118</v>
      </c>
      <c r="F18" t="s">
        <v>107</v>
      </c>
      <c r="G18" t="s">
        <v>51</v>
      </c>
      <c r="H18">
        <v>96238.674491349986</v>
      </c>
      <c r="I18">
        <v>423450.16776193999</v>
      </c>
      <c r="J18">
        <v>326226.00924379862</v>
      </c>
      <c r="K18">
        <v>326226.00924379862</v>
      </c>
    </row>
    <row r="19" spans="1:11" x14ac:dyDescent="0.25">
      <c r="A19" t="s">
        <v>151</v>
      </c>
      <c r="B19" t="s">
        <v>27</v>
      </c>
      <c r="C19" t="s">
        <v>52</v>
      </c>
      <c r="D19">
        <v>2030</v>
      </c>
      <c r="E19" t="s">
        <v>118</v>
      </c>
      <c r="F19" t="s">
        <v>107</v>
      </c>
      <c r="G19" t="s">
        <v>52</v>
      </c>
      <c r="H19">
        <v>176774.77405775199</v>
      </c>
      <c r="I19">
        <v>8771564.2887456547</v>
      </c>
      <c r="J19">
        <v>0</v>
      </c>
      <c r="K19">
        <v>8771564.2887456547</v>
      </c>
    </row>
    <row r="20" spans="1:11" x14ac:dyDescent="0.25">
      <c r="A20" t="s">
        <v>151</v>
      </c>
      <c r="B20" t="s">
        <v>27</v>
      </c>
      <c r="C20" t="s">
        <v>29</v>
      </c>
      <c r="D20">
        <v>2030</v>
      </c>
      <c r="E20" t="s">
        <v>118</v>
      </c>
      <c r="F20" t="s">
        <v>107</v>
      </c>
      <c r="G20" t="s">
        <v>29</v>
      </c>
      <c r="H20">
        <v>22096.846757218998</v>
      </c>
      <c r="I20">
        <v>458509.57021229429</v>
      </c>
      <c r="J20">
        <v>0</v>
      </c>
      <c r="K20">
        <v>458509.57021229429</v>
      </c>
    </row>
    <row r="21" spans="1:11" x14ac:dyDescent="0.25">
      <c r="A21" t="s">
        <v>151</v>
      </c>
      <c r="B21" t="s">
        <v>27</v>
      </c>
      <c r="C21" t="s">
        <v>30</v>
      </c>
      <c r="D21">
        <v>2030</v>
      </c>
      <c r="E21" t="s">
        <v>118</v>
      </c>
      <c r="F21" t="s">
        <v>107</v>
      </c>
      <c r="G21" t="s">
        <v>30</v>
      </c>
      <c r="H21">
        <v>32257.394898052684</v>
      </c>
      <c r="I21">
        <v>1370000.5759083009</v>
      </c>
      <c r="J21">
        <v>0</v>
      </c>
      <c r="K21">
        <v>1370000.5759083009</v>
      </c>
    </row>
    <row r="22" spans="1:11" x14ac:dyDescent="0.25">
      <c r="A22" t="s">
        <v>151</v>
      </c>
      <c r="B22" t="s">
        <v>27</v>
      </c>
      <c r="C22" t="s">
        <v>54</v>
      </c>
      <c r="D22">
        <v>2030</v>
      </c>
      <c r="E22" t="s">
        <v>118</v>
      </c>
      <c r="F22" t="s">
        <v>107</v>
      </c>
      <c r="G22" t="s">
        <v>54</v>
      </c>
      <c r="H22">
        <v>19838.419979081133</v>
      </c>
      <c r="I22">
        <v>1611945.6472554877</v>
      </c>
      <c r="J22">
        <v>0</v>
      </c>
      <c r="K22">
        <v>1611945.6472554877</v>
      </c>
    </row>
    <row r="23" spans="1:11" x14ac:dyDescent="0.25">
      <c r="A23" t="s">
        <v>151</v>
      </c>
      <c r="B23" t="s">
        <v>27</v>
      </c>
      <c r="C23" t="s">
        <v>53</v>
      </c>
      <c r="D23">
        <v>2030</v>
      </c>
      <c r="E23" t="s">
        <v>118</v>
      </c>
      <c r="F23" t="s">
        <v>107</v>
      </c>
      <c r="G23" t="s">
        <v>53</v>
      </c>
      <c r="H23">
        <v>107183.38810401986</v>
      </c>
      <c r="I23">
        <v>4770732.6045099245</v>
      </c>
      <c r="J23">
        <v>0</v>
      </c>
      <c r="K23">
        <v>4770732.6045099245</v>
      </c>
    </row>
    <row r="24" spans="1:11" x14ac:dyDescent="0.25">
      <c r="A24" t="s">
        <v>151</v>
      </c>
      <c r="B24" t="s">
        <v>27</v>
      </c>
      <c r="C24" t="s">
        <v>40</v>
      </c>
      <c r="D24">
        <v>2030</v>
      </c>
      <c r="E24" t="s">
        <v>118</v>
      </c>
      <c r="F24" t="s">
        <v>107</v>
      </c>
      <c r="G24" t="s">
        <v>40</v>
      </c>
      <c r="H24">
        <v>2990.7218478474151</v>
      </c>
      <c r="I24">
        <v>25391.228488224559</v>
      </c>
      <c r="J24">
        <v>0</v>
      </c>
      <c r="K24">
        <v>25391.228488224559</v>
      </c>
    </row>
    <row r="25" spans="1:11" x14ac:dyDescent="0.25">
      <c r="A25" t="s">
        <v>151</v>
      </c>
      <c r="B25" t="s">
        <v>27</v>
      </c>
      <c r="C25" t="s">
        <v>79</v>
      </c>
      <c r="D25">
        <v>2030</v>
      </c>
      <c r="E25" t="s">
        <v>118</v>
      </c>
      <c r="F25" t="s">
        <v>107</v>
      </c>
      <c r="G25" t="s">
        <v>79</v>
      </c>
      <c r="H25">
        <v>41201.294654944359</v>
      </c>
      <c r="I25">
        <v>1227631.4480028604</v>
      </c>
      <c r="J25">
        <v>0</v>
      </c>
      <c r="K25">
        <v>1227631.4480028604</v>
      </c>
    </row>
    <row r="26" spans="1:11" x14ac:dyDescent="0.25">
      <c r="A26" t="s">
        <v>151</v>
      </c>
      <c r="B26" t="s">
        <v>27</v>
      </c>
      <c r="C26" t="s">
        <v>74</v>
      </c>
      <c r="D26">
        <v>2030</v>
      </c>
      <c r="E26" t="s">
        <v>118</v>
      </c>
      <c r="F26" t="s">
        <v>107</v>
      </c>
      <c r="G26" t="s">
        <v>51</v>
      </c>
      <c r="H26">
        <v>59507.261024225008</v>
      </c>
      <c r="I26">
        <v>850290.96695399587</v>
      </c>
      <c r="J26">
        <v>203752.86174694647</v>
      </c>
      <c r="K26">
        <v>203752.86174694647</v>
      </c>
    </row>
    <row r="27" spans="1:11" x14ac:dyDescent="0.25">
      <c r="A27" t="s">
        <v>151</v>
      </c>
      <c r="B27" t="s">
        <v>27</v>
      </c>
      <c r="C27" t="s">
        <v>77</v>
      </c>
      <c r="D27">
        <v>2030</v>
      </c>
      <c r="E27" t="s">
        <v>118</v>
      </c>
      <c r="F27" t="s">
        <v>107</v>
      </c>
      <c r="G27" t="s">
        <v>77</v>
      </c>
      <c r="H27">
        <v>11176.489299061544</v>
      </c>
      <c r="I27">
        <v>558824.46495307726</v>
      </c>
      <c r="J27">
        <v>0</v>
      </c>
      <c r="K27">
        <v>558824.46495307726</v>
      </c>
    </row>
    <row r="28" spans="1:11" x14ac:dyDescent="0.25">
      <c r="A28" t="s">
        <v>151</v>
      </c>
      <c r="B28" t="s">
        <v>27</v>
      </c>
      <c r="C28" t="s">
        <v>64</v>
      </c>
      <c r="D28">
        <v>2030</v>
      </c>
      <c r="E28" t="s">
        <v>118</v>
      </c>
      <c r="F28" t="s">
        <v>107</v>
      </c>
      <c r="G28" t="s">
        <v>64</v>
      </c>
      <c r="H28">
        <v>4297.8506594739029</v>
      </c>
      <c r="I28">
        <v>104825.62584082691</v>
      </c>
      <c r="J28">
        <v>0</v>
      </c>
      <c r="K28">
        <v>104825.62584082691</v>
      </c>
    </row>
    <row r="29" spans="1:11" x14ac:dyDescent="0.25">
      <c r="A29" t="s">
        <v>151</v>
      </c>
      <c r="B29" t="s">
        <v>27</v>
      </c>
      <c r="C29" t="s">
        <v>119</v>
      </c>
      <c r="D29">
        <v>2030</v>
      </c>
      <c r="E29" t="s">
        <v>118</v>
      </c>
      <c r="F29" t="s">
        <v>107</v>
      </c>
      <c r="G29" t="s">
        <v>52</v>
      </c>
      <c r="H29">
        <v>104591.74131750326</v>
      </c>
      <c r="I29">
        <v>1442320.11276837</v>
      </c>
      <c r="J29">
        <v>0</v>
      </c>
      <c r="K29">
        <v>1442320.11276837</v>
      </c>
    </row>
    <row r="30" spans="1:11" x14ac:dyDescent="0.25">
      <c r="A30" t="s">
        <v>151</v>
      </c>
      <c r="B30" t="s">
        <v>27</v>
      </c>
      <c r="C30" t="s">
        <v>28</v>
      </c>
      <c r="D30">
        <v>2050</v>
      </c>
      <c r="E30" t="s">
        <v>118</v>
      </c>
      <c r="F30" t="s">
        <v>107</v>
      </c>
      <c r="G30" t="s">
        <v>51</v>
      </c>
      <c r="H30">
        <v>583880.5513728552</v>
      </c>
      <c r="I30">
        <v>4093002.6651237146</v>
      </c>
      <c r="J30">
        <v>2329941.7671216745</v>
      </c>
      <c r="K30">
        <v>2329941.7671216745</v>
      </c>
    </row>
    <row r="31" spans="1:11" x14ac:dyDescent="0.25">
      <c r="A31" t="s">
        <v>151</v>
      </c>
      <c r="B31" t="s">
        <v>27</v>
      </c>
      <c r="C31" t="s">
        <v>33</v>
      </c>
      <c r="D31">
        <v>2050</v>
      </c>
      <c r="E31" t="s">
        <v>118</v>
      </c>
      <c r="F31" t="s">
        <v>107</v>
      </c>
      <c r="G31" t="s">
        <v>51</v>
      </c>
      <c r="H31">
        <v>47859.061587938959</v>
      </c>
      <c r="I31">
        <v>184735.97772944439</v>
      </c>
      <c r="J31">
        <v>95650.402603730981</v>
      </c>
      <c r="K31">
        <v>95650.402603730981</v>
      </c>
    </row>
    <row r="32" spans="1:11" x14ac:dyDescent="0.25">
      <c r="A32" t="s">
        <v>151</v>
      </c>
      <c r="B32" t="s">
        <v>27</v>
      </c>
      <c r="C32" t="s">
        <v>71</v>
      </c>
      <c r="D32">
        <v>2050</v>
      </c>
      <c r="E32" t="s">
        <v>118</v>
      </c>
      <c r="F32" t="s">
        <v>107</v>
      </c>
      <c r="G32" t="s">
        <v>51</v>
      </c>
      <c r="H32">
        <v>78165.439738337198</v>
      </c>
      <c r="I32">
        <v>343927.93484868365</v>
      </c>
      <c r="J32">
        <v>320368.87131154886</v>
      </c>
      <c r="K32">
        <v>320368.87131154886</v>
      </c>
    </row>
    <row r="33" spans="1:11" x14ac:dyDescent="0.25">
      <c r="A33" t="s">
        <v>151</v>
      </c>
      <c r="B33" t="s">
        <v>27</v>
      </c>
      <c r="C33" t="s">
        <v>52</v>
      </c>
      <c r="D33">
        <v>2050</v>
      </c>
      <c r="E33" t="s">
        <v>118</v>
      </c>
      <c r="F33" t="s">
        <v>107</v>
      </c>
      <c r="G33" t="s">
        <v>52</v>
      </c>
      <c r="H33">
        <v>197418.62905024822</v>
      </c>
      <c r="I33">
        <v>9795912.3734733164</v>
      </c>
      <c r="J33">
        <v>0</v>
      </c>
      <c r="K33">
        <v>9795912.3734733164</v>
      </c>
    </row>
    <row r="34" spans="1:11" x14ac:dyDescent="0.25">
      <c r="A34" t="s">
        <v>151</v>
      </c>
      <c r="B34" t="s">
        <v>27</v>
      </c>
      <c r="C34" t="s">
        <v>29</v>
      </c>
      <c r="D34">
        <v>2050</v>
      </c>
      <c r="E34" t="s">
        <v>118</v>
      </c>
      <c r="F34" t="s">
        <v>107</v>
      </c>
      <c r="G34" t="s">
        <v>29</v>
      </c>
      <c r="H34">
        <v>17947.148095477107</v>
      </c>
      <c r="I34">
        <v>372403.32298115001</v>
      </c>
      <c r="J34">
        <v>0</v>
      </c>
      <c r="K34">
        <v>372403.32298115001</v>
      </c>
    </row>
    <row r="35" spans="1:11" x14ac:dyDescent="0.25">
      <c r="A35" t="s">
        <v>151</v>
      </c>
      <c r="B35" t="s">
        <v>27</v>
      </c>
      <c r="C35" t="s">
        <v>30</v>
      </c>
      <c r="D35">
        <v>2050</v>
      </c>
      <c r="E35" t="s">
        <v>118</v>
      </c>
      <c r="F35" t="s">
        <v>107</v>
      </c>
      <c r="G35" t="s">
        <v>30</v>
      </c>
      <c r="H35">
        <v>26199.586292578348</v>
      </c>
      <c r="I35">
        <v>1112719.9956112509</v>
      </c>
      <c r="J35">
        <v>0</v>
      </c>
      <c r="K35">
        <v>1112719.9956112509</v>
      </c>
    </row>
    <row r="36" spans="1:11" x14ac:dyDescent="0.25">
      <c r="A36" t="s">
        <v>151</v>
      </c>
      <c r="B36" t="s">
        <v>27</v>
      </c>
      <c r="C36" t="s">
        <v>54</v>
      </c>
      <c r="D36">
        <v>2050</v>
      </c>
      <c r="E36" t="s">
        <v>118</v>
      </c>
      <c r="F36" t="s">
        <v>107</v>
      </c>
      <c r="G36" t="s">
        <v>54</v>
      </c>
      <c r="H36">
        <v>61020.303524622163</v>
      </c>
      <c r="I36">
        <v>4958127.349075269</v>
      </c>
      <c r="J36">
        <v>0</v>
      </c>
      <c r="K36">
        <v>4958127.349075269</v>
      </c>
    </row>
    <row r="37" spans="1:11" x14ac:dyDescent="0.25">
      <c r="A37" t="s">
        <v>151</v>
      </c>
      <c r="B37" t="s">
        <v>27</v>
      </c>
      <c r="C37" t="s">
        <v>53</v>
      </c>
      <c r="D37">
        <v>2050</v>
      </c>
      <c r="E37" t="s">
        <v>118</v>
      </c>
      <c r="F37" t="s">
        <v>107</v>
      </c>
      <c r="G37" t="s">
        <v>53</v>
      </c>
      <c r="H37">
        <v>87054.780295717777</v>
      </c>
      <c r="I37">
        <v>3874808.2709623985</v>
      </c>
      <c r="J37">
        <v>0</v>
      </c>
      <c r="K37">
        <v>3874808.2709623985</v>
      </c>
    </row>
    <row r="38" spans="1:11" x14ac:dyDescent="0.25">
      <c r="A38" t="s">
        <v>151</v>
      </c>
      <c r="B38" t="s">
        <v>27</v>
      </c>
      <c r="C38" t="s">
        <v>40</v>
      </c>
      <c r="D38">
        <v>2050</v>
      </c>
      <c r="E38" t="s">
        <v>118</v>
      </c>
      <c r="F38" t="s">
        <v>107</v>
      </c>
      <c r="G38" t="s">
        <v>40</v>
      </c>
      <c r="H38">
        <v>2429.0763521795711</v>
      </c>
      <c r="I38">
        <v>20622.858230004564</v>
      </c>
      <c r="J38">
        <v>0</v>
      </c>
      <c r="K38">
        <v>20622.858230004564</v>
      </c>
    </row>
    <row r="39" spans="1:11" x14ac:dyDescent="0.25">
      <c r="A39" t="s">
        <v>151</v>
      </c>
      <c r="B39" t="s">
        <v>27</v>
      </c>
      <c r="C39" t="s">
        <v>79</v>
      </c>
      <c r="D39">
        <v>2050</v>
      </c>
      <c r="E39" t="s">
        <v>118</v>
      </c>
      <c r="F39" t="s">
        <v>107</v>
      </c>
      <c r="G39" t="s">
        <v>79</v>
      </c>
      <c r="H39">
        <v>33463.857763148953</v>
      </c>
      <c r="I39">
        <v>997087.21547676797</v>
      </c>
      <c r="J39">
        <v>0</v>
      </c>
      <c r="K39">
        <v>997087.21547676797</v>
      </c>
    </row>
    <row r="40" spans="1:11" x14ac:dyDescent="0.25">
      <c r="A40" t="s">
        <v>151</v>
      </c>
      <c r="B40" t="s">
        <v>27</v>
      </c>
      <c r="C40" t="s">
        <v>74</v>
      </c>
      <c r="D40">
        <v>2050</v>
      </c>
      <c r="E40" t="s">
        <v>118</v>
      </c>
      <c r="F40" t="s">
        <v>107</v>
      </c>
      <c r="G40" t="s">
        <v>51</v>
      </c>
      <c r="H40">
        <v>48332.037511599701</v>
      </c>
      <c r="I40">
        <v>690609.75422587304</v>
      </c>
      <c r="J40">
        <v>200094.63529802277</v>
      </c>
      <c r="K40">
        <v>200094.63529802277</v>
      </c>
    </row>
    <row r="41" spans="1:11" x14ac:dyDescent="0.25">
      <c r="A41" t="s">
        <v>151</v>
      </c>
      <c r="B41" t="s">
        <v>27</v>
      </c>
      <c r="C41" t="s">
        <v>77</v>
      </c>
      <c r="D41">
        <v>2050</v>
      </c>
      <c r="E41" t="s">
        <v>118</v>
      </c>
      <c r="F41" t="s">
        <v>107</v>
      </c>
      <c r="G41" t="s">
        <v>77</v>
      </c>
      <c r="H41">
        <v>9077.5897050669246</v>
      </c>
      <c r="I41">
        <v>453879.48525334627</v>
      </c>
      <c r="J41">
        <v>0</v>
      </c>
      <c r="K41">
        <v>453879.48525334627</v>
      </c>
    </row>
    <row r="42" spans="1:11" x14ac:dyDescent="0.25">
      <c r="A42" t="s">
        <v>151</v>
      </c>
      <c r="B42" t="s">
        <v>27</v>
      </c>
      <c r="C42" t="s">
        <v>64</v>
      </c>
      <c r="D42">
        <v>2050</v>
      </c>
      <c r="E42" t="s">
        <v>118</v>
      </c>
      <c r="F42" t="s">
        <v>107</v>
      </c>
      <c r="G42" t="s">
        <v>64</v>
      </c>
      <c r="H42">
        <v>3490.7316471578697</v>
      </c>
      <c r="I42">
        <v>85139.796272143169</v>
      </c>
      <c r="J42">
        <v>0</v>
      </c>
      <c r="K42">
        <v>85139.796272143169</v>
      </c>
    </row>
    <row r="43" spans="1:11" x14ac:dyDescent="0.25">
      <c r="A43" t="s">
        <v>151</v>
      </c>
      <c r="B43" t="s">
        <v>27</v>
      </c>
      <c r="C43" t="s">
        <v>119</v>
      </c>
      <c r="D43">
        <v>2050</v>
      </c>
      <c r="E43" t="s">
        <v>118</v>
      </c>
      <c r="F43" t="s">
        <v>107</v>
      </c>
      <c r="G43" t="s">
        <v>52</v>
      </c>
      <c r="H43">
        <v>0</v>
      </c>
      <c r="I43">
        <v>0</v>
      </c>
      <c r="J43">
        <v>0</v>
      </c>
      <c r="K43">
        <v>0</v>
      </c>
    </row>
    <row r="44" spans="1:11" x14ac:dyDescent="0.25">
      <c r="A44" t="s">
        <v>151</v>
      </c>
      <c r="B44" t="s">
        <v>27</v>
      </c>
      <c r="C44" t="s">
        <v>28</v>
      </c>
      <c r="D44">
        <v>2019</v>
      </c>
      <c r="E44" t="s">
        <v>120</v>
      </c>
      <c r="F44" t="s">
        <v>107</v>
      </c>
      <c r="G44" t="s">
        <v>51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151</v>
      </c>
      <c r="B45" t="s">
        <v>27</v>
      </c>
      <c r="C45" t="s">
        <v>33</v>
      </c>
      <c r="D45">
        <v>2019</v>
      </c>
      <c r="E45" t="s">
        <v>120</v>
      </c>
      <c r="F45" t="s">
        <v>107</v>
      </c>
      <c r="G45" t="s">
        <v>51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151</v>
      </c>
      <c r="B46" t="s">
        <v>27</v>
      </c>
      <c r="C46" t="s">
        <v>71</v>
      </c>
      <c r="D46">
        <v>2019</v>
      </c>
      <c r="E46" t="s">
        <v>120</v>
      </c>
      <c r="F46" t="s">
        <v>107</v>
      </c>
      <c r="G46" t="s">
        <v>51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151</v>
      </c>
      <c r="B47" t="s">
        <v>27</v>
      </c>
      <c r="C47" t="s">
        <v>52</v>
      </c>
      <c r="D47">
        <v>2019</v>
      </c>
      <c r="E47" t="s">
        <v>120</v>
      </c>
      <c r="F47" t="s">
        <v>107</v>
      </c>
      <c r="G47" t="s">
        <v>52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151</v>
      </c>
      <c r="B48" t="s">
        <v>27</v>
      </c>
      <c r="C48" t="s">
        <v>29</v>
      </c>
      <c r="D48">
        <v>2019</v>
      </c>
      <c r="E48" t="s">
        <v>120</v>
      </c>
      <c r="F48" t="s">
        <v>107</v>
      </c>
      <c r="G48" t="s">
        <v>29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151</v>
      </c>
      <c r="B49" t="s">
        <v>27</v>
      </c>
      <c r="C49" t="s">
        <v>30</v>
      </c>
      <c r="D49">
        <v>2019</v>
      </c>
      <c r="E49" t="s">
        <v>120</v>
      </c>
      <c r="F49" t="s">
        <v>107</v>
      </c>
      <c r="G49" t="s">
        <v>30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151</v>
      </c>
      <c r="B50" t="s">
        <v>27</v>
      </c>
      <c r="C50" t="s">
        <v>54</v>
      </c>
      <c r="D50">
        <v>2019</v>
      </c>
      <c r="E50" t="s">
        <v>120</v>
      </c>
      <c r="F50" t="s">
        <v>107</v>
      </c>
      <c r="G50" t="s">
        <v>54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151</v>
      </c>
      <c r="B51" t="s">
        <v>27</v>
      </c>
      <c r="C51" t="s">
        <v>53</v>
      </c>
      <c r="D51">
        <v>2019</v>
      </c>
      <c r="E51" t="s">
        <v>120</v>
      </c>
      <c r="F51" t="s">
        <v>107</v>
      </c>
      <c r="G51" t="s">
        <v>53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151</v>
      </c>
      <c r="B52" t="s">
        <v>27</v>
      </c>
      <c r="C52" t="s">
        <v>40</v>
      </c>
      <c r="D52">
        <v>2019</v>
      </c>
      <c r="E52" t="s">
        <v>120</v>
      </c>
      <c r="F52" t="s">
        <v>107</v>
      </c>
      <c r="G52" t="s">
        <v>40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151</v>
      </c>
      <c r="B53" t="s">
        <v>27</v>
      </c>
      <c r="C53" t="s">
        <v>79</v>
      </c>
      <c r="D53">
        <v>2019</v>
      </c>
      <c r="E53" t="s">
        <v>120</v>
      </c>
      <c r="F53" t="s">
        <v>107</v>
      </c>
      <c r="G53" t="s">
        <v>79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151</v>
      </c>
      <c r="B54" t="s">
        <v>27</v>
      </c>
      <c r="C54" t="s">
        <v>74</v>
      </c>
      <c r="D54">
        <v>2019</v>
      </c>
      <c r="E54" t="s">
        <v>120</v>
      </c>
      <c r="F54" t="s">
        <v>107</v>
      </c>
      <c r="G54" t="s">
        <v>51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151</v>
      </c>
      <c r="B55" t="s">
        <v>27</v>
      </c>
      <c r="C55" t="s">
        <v>77</v>
      </c>
      <c r="D55">
        <v>2019</v>
      </c>
      <c r="E55" t="s">
        <v>120</v>
      </c>
      <c r="F55" t="s">
        <v>107</v>
      </c>
      <c r="G55" t="s">
        <v>77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151</v>
      </c>
      <c r="B56" t="s">
        <v>27</v>
      </c>
      <c r="C56" t="s">
        <v>64</v>
      </c>
      <c r="D56">
        <v>2019</v>
      </c>
      <c r="E56" t="s">
        <v>120</v>
      </c>
      <c r="F56" t="s">
        <v>107</v>
      </c>
      <c r="G56" t="s">
        <v>64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151</v>
      </c>
      <c r="B57" t="s">
        <v>27</v>
      </c>
      <c r="C57" t="s">
        <v>119</v>
      </c>
      <c r="D57">
        <v>2019</v>
      </c>
      <c r="E57" t="s">
        <v>120</v>
      </c>
      <c r="F57" t="s">
        <v>107</v>
      </c>
      <c r="G57" t="s">
        <v>52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151</v>
      </c>
      <c r="B58" t="s">
        <v>27</v>
      </c>
      <c r="C58" t="s">
        <v>28</v>
      </c>
      <c r="D58">
        <v>2030</v>
      </c>
      <c r="E58" t="s">
        <v>120</v>
      </c>
      <c r="F58" t="s">
        <v>107</v>
      </c>
      <c r="G58" t="s">
        <v>51</v>
      </c>
      <c r="H58">
        <v>103459.22470143001</v>
      </c>
      <c r="I58">
        <v>485916.94065520633</v>
      </c>
      <c r="J58">
        <v>228769.69566047119</v>
      </c>
      <c r="K58">
        <v>228769.69566047119</v>
      </c>
    </row>
    <row r="59" spans="1:11" x14ac:dyDescent="0.25">
      <c r="A59" t="s">
        <v>151</v>
      </c>
      <c r="B59" t="s">
        <v>27</v>
      </c>
      <c r="C59" t="s">
        <v>33</v>
      </c>
      <c r="D59">
        <v>2030</v>
      </c>
      <c r="E59" t="s">
        <v>120</v>
      </c>
      <c r="F59" t="s">
        <v>107</v>
      </c>
      <c r="G59" t="s">
        <v>51</v>
      </c>
      <c r="H59">
        <v>20691.844940286002</v>
      </c>
      <c r="I59">
        <v>45526.197237617256</v>
      </c>
      <c r="J59">
        <v>19495.308382683452</v>
      </c>
      <c r="K59">
        <v>19495.308382683452</v>
      </c>
    </row>
    <row r="60" spans="1:11" x14ac:dyDescent="0.25">
      <c r="A60" t="s">
        <v>151</v>
      </c>
      <c r="B60" t="s">
        <v>27</v>
      </c>
      <c r="C60" t="s">
        <v>71</v>
      </c>
      <c r="D60">
        <v>2030</v>
      </c>
      <c r="E60" t="s">
        <v>120</v>
      </c>
      <c r="F60" t="s">
        <v>107</v>
      </c>
      <c r="G60" t="s">
        <v>51</v>
      </c>
      <c r="H60">
        <v>15019.908735644221</v>
      </c>
      <c r="I60">
        <v>36348.179140259017</v>
      </c>
      <c r="J60">
        <v>28002.63720965555</v>
      </c>
      <c r="K60">
        <v>28002.63720965555</v>
      </c>
    </row>
    <row r="61" spans="1:11" x14ac:dyDescent="0.25">
      <c r="A61" t="s">
        <v>151</v>
      </c>
      <c r="B61" t="s">
        <v>27</v>
      </c>
      <c r="C61" t="s">
        <v>52</v>
      </c>
      <c r="D61">
        <v>2030</v>
      </c>
      <c r="E61" t="s">
        <v>120</v>
      </c>
      <c r="F61" t="s">
        <v>107</v>
      </c>
      <c r="G61" t="s">
        <v>52</v>
      </c>
      <c r="H61">
        <v>27589.126587047998</v>
      </c>
      <c r="I61">
        <v>1067798.5197744712</v>
      </c>
      <c r="J61">
        <v>0</v>
      </c>
      <c r="K61">
        <v>1067798.5197744712</v>
      </c>
    </row>
    <row r="62" spans="1:11" x14ac:dyDescent="0.25">
      <c r="A62" t="s">
        <v>151</v>
      </c>
      <c r="B62" t="s">
        <v>27</v>
      </c>
      <c r="C62" t="s">
        <v>29</v>
      </c>
      <c r="D62">
        <v>2030</v>
      </c>
      <c r="E62" t="s">
        <v>120</v>
      </c>
      <c r="F62" t="s">
        <v>107</v>
      </c>
      <c r="G62" t="s">
        <v>29</v>
      </c>
      <c r="H62">
        <v>3448.6408233809998</v>
      </c>
      <c r="I62">
        <v>40788.799338538774</v>
      </c>
      <c r="J62">
        <v>0</v>
      </c>
      <c r="K62">
        <v>40788.799338538774</v>
      </c>
    </row>
    <row r="63" spans="1:11" x14ac:dyDescent="0.25">
      <c r="A63" t="s">
        <v>151</v>
      </c>
      <c r="B63" t="s">
        <v>27</v>
      </c>
      <c r="C63" t="s">
        <v>30</v>
      </c>
      <c r="D63">
        <v>2030</v>
      </c>
      <c r="E63" t="s">
        <v>120</v>
      </c>
      <c r="F63" t="s">
        <v>107</v>
      </c>
      <c r="G63" t="s">
        <v>30</v>
      </c>
      <c r="H63">
        <v>5034.3911112567775</v>
      </c>
      <c r="I63">
        <v>121874.61770652459</v>
      </c>
      <c r="J63">
        <v>0</v>
      </c>
      <c r="K63">
        <v>121874.61770652459</v>
      </c>
    </row>
    <row r="64" spans="1:11" x14ac:dyDescent="0.25">
      <c r="A64" t="s">
        <v>151</v>
      </c>
      <c r="B64" t="s">
        <v>27</v>
      </c>
      <c r="C64" t="s">
        <v>54</v>
      </c>
      <c r="D64">
        <v>2030</v>
      </c>
      <c r="E64" t="s">
        <v>120</v>
      </c>
      <c r="F64" t="s">
        <v>107</v>
      </c>
      <c r="G64" t="s">
        <v>54</v>
      </c>
      <c r="H64">
        <v>3096.1695921109285</v>
      </c>
      <c r="I64">
        <v>143397.93937145639</v>
      </c>
      <c r="J64">
        <v>0</v>
      </c>
      <c r="K64">
        <v>143397.93937145639</v>
      </c>
    </row>
    <row r="65" spans="1:11" x14ac:dyDescent="0.25">
      <c r="A65" t="s">
        <v>151</v>
      </c>
      <c r="B65" t="s">
        <v>27</v>
      </c>
      <c r="C65" t="s">
        <v>53</v>
      </c>
      <c r="D65">
        <v>2030</v>
      </c>
      <c r="E65" t="s">
        <v>120</v>
      </c>
      <c r="F65" t="s">
        <v>107</v>
      </c>
      <c r="G65" t="s">
        <v>53</v>
      </c>
      <c r="H65">
        <v>16728.043230107149</v>
      </c>
      <c r="I65">
        <v>617989.11946281744</v>
      </c>
      <c r="J65">
        <v>0</v>
      </c>
      <c r="K65">
        <v>617989.11946281744</v>
      </c>
    </row>
    <row r="66" spans="1:11" x14ac:dyDescent="0.25">
      <c r="A66" t="s">
        <v>151</v>
      </c>
      <c r="B66" t="s">
        <v>27</v>
      </c>
      <c r="C66" t="s">
        <v>40</v>
      </c>
      <c r="D66">
        <v>2030</v>
      </c>
      <c r="E66" t="s">
        <v>120</v>
      </c>
      <c r="F66" t="s">
        <v>107</v>
      </c>
      <c r="G66" t="s">
        <v>40</v>
      </c>
      <c r="H66">
        <v>466.7600571784983</v>
      </c>
      <c r="I66">
        <v>2258.7919447039067</v>
      </c>
      <c r="J66">
        <v>0</v>
      </c>
      <c r="K66">
        <v>2258.7919447039067</v>
      </c>
    </row>
    <row r="67" spans="1:11" x14ac:dyDescent="0.25">
      <c r="A67" t="s">
        <v>151</v>
      </c>
      <c r="B67" t="s">
        <v>27</v>
      </c>
      <c r="C67" t="s">
        <v>79</v>
      </c>
      <c r="D67">
        <v>2030</v>
      </c>
      <c r="E67" t="s">
        <v>120</v>
      </c>
      <c r="F67" t="s">
        <v>107</v>
      </c>
      <c r="G67" t="s">
        <v>79</v>
      </c>
      <c r="H67">
        <v>6430.2598594421834</v>
      </c>
      <c r="I67">
        <v>109209.52592349146</v>
      </c>
      <c r="J67">
        <v>0</v>
      </c>
      <c r="K67">
        <v>109209.52592349146</v>
      </c>
    </row>
    <row r="68" spans="1:11" x14ac:dyDescent="0.25">
      <c r="A68" t="s">
        <v>151</v>
      </c>
      <c r="B68" t="s">
        <v>27</v>
      </c>
      <c r="C68" t="s">
        <v>74</v>
      </c>
      <c r="D68">
        <v>2030</v>
      </c>
      <c r="E68" t="s">
        <v>120</v>
      </c>
      <c r="F68" t="s">
        <v>107</v>
      </c>
      <c r="G68" t="s">
        <v>51</v>
      </c>
      <c r="H68">
        <v>9287.2603910640191</v>
      </c>
      <c r="I68">
        <v>75641.49122209246</v>
      </c>
      <c r="J68">
        <v>18125.760360031825</v>
      </c>
      <c r="K68">
        <v>18125.760360031825</v>
      </c>
    </row>
    <row r="69" spans="1:11" x14ac:dyDescent="0.25">
      <c r="A69" t="s">
        <v>151</v>
      </c>
      <c r="B69" t="s">
        <v>27</v>
      </c>
      <c r="C69" t="s">
        <v>77</v>
      </c>
      <c r="D69">
        <v>2030</v>
      </c>
      <c r="E69" t="s">
        <v>120</v>
      </c>
      <c r="F69" t="s">
        <v>107</v>
      </c>
      <c r="G69" t="s">
        <v>77</v>
      </c>
      <c r="H69">
        <v>1744.3075784662526</v>
      </c>
      <c r="I69">
        <v>49712.765986288199</v>
      </c>
      <c r="J69">
        <v>0</v>
      </c>
      <c r="K69">
        <v>49712.765986288199</v>
      </c>
    </row>
    <row r="70" spans="1:11" x14ac:dyDescent="0.25">
      <c r="A70" t="s">
        <v>151</v>
      </c>
      <c r="B70" t="s">
        <v>27</v>
      </c>
      <c r="C70" t="s">
        <v>64</v>
      </c>
      <c r="D70">
        <v>2030</v>
      </c>
      <c r="E70" t="s">
        <v>120</v>
      </c>
      <c r="F70" t="s">
        <v>107</v>
      </c>
      <c r="G70" t="s">
        <v>64</v>
      </c>
      <c r="H70">
        <v>670.76281968667865</v>
      </c>
      <c r="I70">
        <v>9325.2392005221172</v>
      </c>
      <c r="J70">
        <v>0</v>
      </c>
      <c r="K70">
        <v>9325.2392005221172</v>
      </c>
    </row>
    <row r="71" spans="1:11" x14ac:dyDescent="0.25">
      <c r="A71" t="s">
        <v>151</v>
      </c>
      <c r="B71" t="s">
        <v>27</v>
      </c>
      <c r="C71" t="s">
        <v>119</v>
      </c>
      <c r="D71">
        <v>2030</v>
      </c>
      <c r="E71" t="s">
        <v>120</v>
      </c>
      <c r="F71" t="s">
        <v>107</v>
      </c>
      <c r="G71" t="s">
        <v>52</v>
      </c>
      <c r="H71">
        <v>16323.5665640034</v>
      </c>
      <c r="I71">
        <v>225101.98291760689</v>
      </c>
      <c r="J71">
        <v>0</v>
      </c>
      <c r="K71">
        <v>225101.98291760689</v>
      </c>
    </row>
    <row r="72" spans="1:11" x14ac:dyDescent="0.25">
      <c r="A72" t="s">
        <v>151</v>
      </c>
      <c r="B72" t="s">
        <v>27</v>
      </c>
      <c r="C72" t="s">
        <v>28</v>
      </c>
      <c r="D72">
        <v>2050</v>
      </c>
      <c r="E72" t="s">
        <v>120</v>
      </c>
      <c r="F72" t="s">
        <v>107</v>
      </c>
      <c r="G72" t="s">
        <v>51</v>
      </c>
      <c r="H72">
        <v>123853.45029121172</v>
      </c>
      <c r="I72">
        <v>581702.49998273409</v>
      </c>
      <c r="J72">
        <v>331134.14811517135</v>
      </c>
      <c r="K72">
        <v>331134.14811517135</v>
      </c>
    </row>
    <row r="73" spans="1:11" x14ac:dyDescent="0.25">
      <c r="A73" t="s">
        <v>151</v>
      </c>
      <c r="B73" t="s">
        <v>27</v>
      </c>
      <c r="C73" t="s">
        <v>33</v>
      </c>
      <c r="D73">
        <v>2050</v>
      </c>
      <c r="E73" t="s">
        <v>120</v>
      </c>
      <c r="F73" t="s">
        <v>107</v>
      </c>
      <c r="G73" t="s">
        <v>51</v>
      </c>
      <c r="H73">
        <v>10151.922155017353</v>
      </c>
      <c r="I73">
        <v>22336.25912546918</v>
      </c>
      <c r="J73">
        <v>11565.003223905653</v>
      </c>
      <c r="K73">
        <v>11565.003223905653</v>
      </c>
    </row>
    <row r="74" spans="1:11" x14ac:dyDescent="0.25">
      <c r="A74" t="s">
        <v>151</v>
      </c>
      <c r="B74" t="s">
        <v>27</v>
      </c>
      <c r="C74" t="s">
        <v>71</v>
      </c>
      <c r="D74">
        <v>2050</v>
      </c>
      <c r="E74" t="s">
        <v>120</v>
      </c>
      <c r="F74" t="s">
        <v>107</v>
      </c>
      <c r="G74" t="s">
        <v>51</v>
      </c>
      <c r="H74">
        <v>16580.54782328365</v>
      </c>
      <c r="I74">
        <v>40124.925732346434</v>
      </c>
      <c r="J74">
        <v>37376.368319680703</v>
      </c>
      <c r="K74">
        <v>37376.368319680703</v>
      </c>
    </row>
    <row r="75" spans="1:11" x14ac:dyDescent="0.25">
      <c r="A75" t="s">
        <v>151</v>
      </c>
      <c r="B75" t="s">
        <v>27</v>
      </c>
      <c r="C75" t="s">
        <v>52</v>
      </c>
      <c r="D75">
        <v>2050</v>
      </c>
      <c r="E75" t="s">
        <v>120</v>
      </c>
      <c r="F75" t="s">
        <v>107</v>
      </c>
      <c r="G75" t="s">
        <v>52</v>
      </c>
      <c r="H75">
        <v>41876.678889446586</v>
      </c>
      <c r="I75">
        <v>1620778.229065585</v>
      </c>
      <c r="J75">
        <v>0</v>
      </c>
      <c r="K75">
        <v>1620778.229065585</v>
      </c>
    </row>
    <row r="76" spans="1:11" x14ac:dyDescent="0.25">
      <c r="A76" t="s">
        <v>151</v>
      </c>
      <c r="B76" t="s">
        <v>27</v>
      </c>
      <c r="C76" t="s">
        <v>29</v>
      </c>
      <c r="D76">
        <v>2050</v>
      </c>
      <c r="E76" t="s">
        <v>120</v>
      </c>
      <c r="F76" t="s">
        <v>107</v>
      </c>
      <c r="G76" t="s">
        <v>29</v>
      </c>
      <c r="H76">
        <v>3806.9708081315075</v>
      </c>
      <c r="I76">
        <v>45026.9472331754</v>
      </c>
      <c r="J76">
        <v>0</v>
      </c>
      <c r="K76">
        <v>45026.9472331754</v>
      </c>
    </row>
    <row r="77" spans="1:11" x14ac:dyDescent="0.25">
      <c r="A77" t="s">
        <v>151</v>
      </c>
      <c r="B77" t="s">
        <v>27</v>
      </c>
      <c r="C77" t="s">
        <v>30</v>
      </c>
      <c r="D77">
        <v>2050</v>
      </c>
      <c r="E77" t="s">
        <v>120</v>
      </c>
      <c r="F77" t="s">
        <v>107</v>
      </c>
      <c r="G77" t="s">
        <v>30</v>
      </c>
      <c r="H77">
        <v>5557.4880014560131</v>
      </c>
      <c r="I77">
        <v>134537.96310572393</v>
      </c>
      <c r="J77">
        <v>0</v>
      </c>
      <c r="K77">
        <v>134537.96310572393</v>
      </c>
    </row>
    <row r="78" spans="1:11" x14ac:dyDescent="0.25">
      <c r="A78" t="s">
        <v>151</v>
      </c>
      <c r="B78" t="s">
        <v>27</v>
      </c>
      <c r="C78" t="s">
        <v>54</v>
      </c>
      <c r="D78">
        <v>2050</v>
      </c>
      <c r="E78" t="s">
        <v>120</v>
      </c>
      <c r="F78" t="s">
        <v>107</v>
      </c>
      <c r="G78" t="s">
        <v>54</v>
      </c>
      <c r="H78">
        <v>12943.700747647126</v>
      </c>
      <c r="I78">
        <v>599482.67038819159</v>
      </c>
      <c r="J78">
        <v>0</v>
      </c>
      <c r="K78">
        <v>599482.67038819159</v>
      </c>
    </row>
    <row r="79" spans="1:11" x14ac:dyDescent="0.25">
      <c r="A79" t="s">
        <v>151</v>
      </c>
      <c r="B79" t="s">
        <v>27</v>
      </c>
      <c r="C79" t="s">
        <v>53</v>
      </c>
      <c r="D79">
        <v>2050</v>
      </c>
      <c r="E79" t="s">
        <v>120</v>
      </c>
      <c r="F79" t="s">
        <v>107</v>
      </c>
      <c r="G79" t="s">
        <v>53</v>
      </c>
      <c r="H79">
        <v>18466.165517273468</v>
      </c>
      <c r="I79">
        <v>682201.09255428892</v>
      </c>
      <c r="J79">
        <v>0</v>
      </c>
      <c r="K79">
        <v>682201.09255428892</v>
      </c>
    </row>
    <row r="80" spans="1:11" x14ac:dyDescent="0.25">
      <c r="A80" t="s">
        <v>151</v>
      </c>
      <c r="B80" t="s">
        <v>27</v>
      </c>
      <c r="C80" t="s">
        <v>40</v>
      </c>
      <c r="D80">
        <v>2050</v>
      </c>
      <c r="E80" t="s">
        <v>120</v>
      </c>
      <c r="F80" t="s">
        <v>107</v>
      </c>
      <c r="G80" t="s">
        <v>40</v>
      </c>
      <c r="H80">
        <v>515.25862015930295</v>
      </c>
      <c r="I80">
        <v>2493.4910405369151</v>
      </c>
      <c r="J80">
        <v>0</v>
      </c>
      <c r="K80">
        <v>2493.4910405369151</v>
      </c>
    </row>
    <row r="81" spans="1:11" x14ac:dyDescent="0.25">
      <c r="A81" t="s">
        <v>151</v>
      </c>
      <c r="B81" t="s">
        <v>27</v>
      </c>
      <c r="C81" t="s">
        <v>79</v>
      </c>
      <c r="D81">
        <v>2050</v>
      </c>
      <c r="E81" t="s">
        <v>120</v>
      </c>
      <c r="F81" t="s">
        <v>107</v>
      </c>
      <c r="G81" t="s">
        <v>79</v>
      </c>
      <c r="H81">
        <v>7098.3940709709905</v>
      </c>
      <c r="I81">
        <v>120556.90878037285</v>
      </c>
      <c r="J81">
        <v>0</v>
      </c>
      <c r="K81">
        <v>120556.90878037285</v>
      </c>
    </row>
    <row r="82" spans="1:11" x14ac:dyDescent="0.25">
      <c r="A82" t="s">
        <v>151</v>
      </c>
      <c r="B82" t="s">
        <v>27</v>
      </c>
      <c r="C82" t="s">
        <v>74</v>
      </c>
      <c r="D82">
        <v>2050</v>
      </c>
      <c r="E82" t="s">
        <v>120</v>
      </c>
      <c r="F82" t="s">
        <v>107</v>
      </c>
      <c r="G82" t="s">
        <v>51</v>
      </c>
      <c r="H82">
        <v>10252.250381248423</v>
      </c>
      <c r="I82">
        <v>83500.997556401024</v>
      </c>
      <c r="J82">
        <v>24193.260449670026</v>
      </c>
      <c r="K82">
        <v>24193.260449670026</v>
      </c>
    </row>
    <row r="83" spans="1:11" x14ac:dyDescent="0.25">
      <c r="A83" t="s">
        <v>151</v>
      </c>
      <c r="B83" t="s">
        <v>27</v>
      </c>
      <c r="C83" t="s">
        <v>77</v>
      </c>
      <c r="D83">
        <v>2050</v>
      </c>
      <c r="E83" t="s">
        <v>120</v>
      </c>
      <c r="F83" t="s">
        <v>107</v>
      </c>
      <c r="G83" t="s">
        <v>77</v>
      </c>
      <c r="H83">
        <v>1925.5493313778325</v>
      </c>
      <c r="I83">
        <v>54878.155944268219</v>
      </c>
      <c r="J83">
        <v>0</v>
      </c>
      <c r="K83">
        <v>54878.155944268219</v>
      </c>
    </row>
    <row r="84" spans="1:11" x14ac:dyDescent="0.25">
      <c r="A84" t="s">
        <v>151</v>
      </c>
      <c r="B84" t="s">
        <v>27</v>
      </c>
      <c r="C84" t="s">
        <v>64</v>
      </c>
      <c r="D84">
        <v>2050</v>
      </c>
      <c r="E84" t="s">
        <v>120</v>
      </c>
      <c r="F84" t="s">
        <v>107</v>
      </c>
      <c r="G84" t="s">
        <v>64</v>
      </c>
      <c r="H84">
        <v>740.45822818500267</v>
      </c>
      <c r="I84">
        <v>10294.175367450038</v>
      </c>
      <c r="J84">
        <v>0</v>
      </c>
      <c r="K84">
        <v>10294.175367450038</v>
      </c>
    </row>
    <row r="85" spans="1:11" x14ac:dyDescent="0.25">
      <c r="A85" t="s">
        <v>151</v>
      </c>
      <c r="B85" t="s">
        <v>27</v>
      </c>
      <c r="C85" t="s">
        <v>119</v>
      </c>
      <c r="D85">
        <v>2050</v>
      </c>
      <c r="E85" t="s">
        <v>120</v>
      </c>
      <c r="F85" t="s">
        <v>107</v>
      </c>
      <c r="G85" t="s">
        <v>52</v>
      </c>
      <c r="H85">
        <v>0</v>
      </c>
      <c r="I85">
        <v>0</v>
      </c>
      <c r="J85">
        <v>0</v>
      </c>
      <c r="K85">
        <v>0</v>
      </c>
    </row>
    <row r="86" spans="1:11" x14ac:dyDescent="0.25">
      <c r="A86" t="s">
        <v>151</v>
      </c>
      <c r="B86" t="s">
        <v>27</v>
      </c>
      <c r="C86" t="s">
        <v>28</v>
      </c>
      <c r="D86">
        <v>2019</v>
      </c>
      <c r="E86" t="s">
        <v>118</v>
      </c>
      <c r="F86" t="s">
        <v>108</v>
      </c>
      <c r="G86" t="s">
        <v>51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151</v>
      </c>
      <c r="B87" t="s">
        <v>27</v>
      </c>
      <c r="C87" t="s">
        <v>33</v>
      </c>
      <c r="D87">
        <v>2019</v>
      </c>
      <c r="E87" t="s">
        <v>118</v>
      </c>
      <c r="F87" t="s">
        <v>108</v>
      </c>
      <c r="G87" t="s">
        <v>51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151</v>
      </c>
      <c r="B88" t="s">
        <v>27</v>
      </c>
      <c r="C88" t="s">
        <v>71</v>
      </c>
      <c r="D88">
        <v>2019</v>
      </c>
      <c r="E88" t="s">
        <v>118</v>
      </c>
      <c r="F88" t="s">
        <v>108</v>
      </c>
      <c r="G88" t="s">
        <v>51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151</v>
      </c>
      <c r="B89" t="s">
        <v>27</v>
      </c>
      <c r="C89" t="s">
        <v>52</v>
      </c>
      <c r="D89">
        <v>2019</v>
      </c>
      <c r="E89" t="s">
        <v>118</v>
      </c>
      <c r="F89" t="s">
        <v>108</v>
      </c>
      <c r="G89" t="s">
        <v>52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151</v>
      </c>
      <c r="B90" t="s">
        <v>27</v>
      </c>
      <c r="C90" t="s">
        <v>29</v>
      </c>
      <c r="D90">
        <v>2019</v>
      </c>
      <c r="E90" t="s">
        <v>118</v>
      </c>
      <c r="F90" t="s">
        <v>108</v>
      </c>
      <c r="G90" t="s">
        <v>29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151</v>
      </c>
      <c r="B91" t="s">
        <v>27</v>
      </c>
      <c r="C91" t="s">
        <v>30</v>
      </c>
      <c r="D91">
        <v>2019</v>
      </c>
      <c r="E91" t="s">
        <v>118</v>
      </c>
      <c r="F91" t="s">
        <v>108</v>
      </c>
      <c r="G91" t="s">
        <v>30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151</v>
      </c>
      <c r="B92" t="s">
        <v>27</v>
      </c>
      <c r="C92" t="s">
        <v>54</v>
      </c>
      <c r="D92">
        <v>2019</v>
      </c>
      <c r="E92" t="s">
        <v>118</v>
      </c>
      <c r="F92" t="s">
        <v>108</v>
      </c>
      <c r="G92" t="s">
        <v>54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151</v>
      </c>
      <c r="B93" t="s">
        <v>27</v>
      </c>
      <c r="C93" t="s">
        <v>53</v>
      </c>
      <c r="D93">
        <v>2019</v>
      </c>
      <c r="E93" t="s">
        <v>118</v>
      </c>
      <c r="F93" t="s">
        <v>108</v>
      </c>
      <c r="G93" t="s">
        <v>53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151</v>
      </c>
      <c r="B94" t="s">
        <v>27</v>
      </c>
      <c r="C94" t="s">
        <v>40</v>
      </c>
      <c r="D94">
        <v>2019</v>
      </c>
      <c r="E94" t="s">
        <v>118</v>
      </c>
      <c r="F94" t="s">
        <v>108</v>
      </c>
      <c r="G94" t="s">
        <v>40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151</v>
      </c>
      <c r="B95" t="s">
        <v>27</v>
      </c>
      <c r="C95" t="s">
        <v>79</v>
      </c>
      <c r="D95">
        <v>2019</v>
      </c>
      <c r="E95" t="s">
        <v>118</v>
      </c>
      <c r="F95" t="s">
        <v>108</v>
      </c>
      <c r="G95" t="s">
        <v>79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151</v>
      </c>
      <c r="B96" t="s">
        <v>27</v>
      </c>
      <c r="C96" t="s">
        <v>74</v>
      </c>
      <c r="D96">
        <v>2019</v>
      </c>
      <c r="E96" t="s">
        <v>118</v>
      </c>
      <c r="F96" t="s">
        <v>108</v>
      </c>
      <c r="G96" t="s">
        <v>51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151</v>
      </c>
      <c r="B97" t="s">
        <v>27</v>
      </c>
      <c r="C97" t="s">
        <v>77</v>
      </c>
      <c r="D97">
        <v>2019</v>
      </c>
      <c r="E97" t="s">
        <v>118</v>
      </c>
      <c r="F97" t="s">
        <v>108</v>
      </c>
      <c r="G97" t="s">
        <v>77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151</v>
      </c>
      <c r="B98" t="s">
        <v>27</v>
      </c>
      <c r="C98" t="s">
        <v>64</v>
      </c>
      <c r="D98">
        <v>2019</v>
      </c>
      <c r="E98" t="s">
        <v>118</v>
      </c>
      <c r="F98" t="s">
        <v>108</v>
      </c>
      <c r="G98" t="s">
        <v>64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151</v>
      </c>
      <c r="B99" t="s">
        <v>27</v>
      </c>
      <c r="C99" t="s">
        <v>119</v>
      </c>
      <c r="D99">
        <v>2019</v>
      </c>
      <c r="E99" t="s">
        <v>118</v>
      </c>
      <c r="F99" t="s">
        <v>108</v>
      </c>
      <c r="G99" t="s">
        <v>52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151</v>
      </c>
      <c r="B100" t="s">
        <v>27</v>
      </c>
      <c r="C100" t="s">
        <v>28</v>
      </c>
      <c r="D100">
        <v>2030</v>
      </c>
      <c r="E100" t="s">
        <v>118</v>
      </c>
      <c r="F100" t="s">
        <v>108</v>
      </c>
      <c r="G100" t="s">
        <v>51</v>
      </c>
      <c r="H100">
        <v>17989.144058005662</v>
      </c>
      <c r="I100">
        <v>151324.67981594364</v>
      </c>
      <c r="J100">
        <v>71243.659257346269</v>
      </c>
      <c r="K100">
        <v>71243.659257346269</v>
      </c>
    </row>
    <row r="101" spans="1:11" x14ac:dyDescent="0.25">
      <c r="A101" t="s">
        <v>151</v>
      </c>
      <c r="B101" t="s">
        <v>27</v>
      </c>
      <c r="C101" t="s">
        <v>33</v>
      </c>
      <c r="D101">
        <v>2030</v>
      </c>
      <c r="E101" t="s">
        <v>118</v>
      </c>
      <c r="F101" t="s">
        <v>108</v>
      </c>
      <c r="G101" t="s">
        <v>51</v>
      </c>
      <c r="H101">
        <v>1542.1050369777552</v>
      </c>
      <c r="I101">
        <v>7143.0305312809624</v>
      </c>
      <c r="J101">
        <v>3058.8011176822356</v>
      </c>
      <c r="K101">
        <v>3058.8011176822356</v>
      </c>
    </row>
    <row r="102" spans="1:11" x14ac:dyDescent="0.25">
      <c r="A102" t="s">
        <v>151</v>
      </c>
      <c r="B102" t="s">
        <v>27</v>
      </c>
      <c r="C102" t="s">
        <v>71</v>
      </c>
      <c r="D102">
        <v>2030</v>
      </c>
      <c r="E102" t="s">
        <v>118</v>
      </c>
      <c r="F102" t="s">
        <v>108</v>
      </c>
      <c r="G102" t="s">
        <v>51</v>
      </c>
      <c r="H102">
        <v>1651.259855586846</v>
      </c>
      <c r="I102">
        <v>8718.6520374985466</v>
      </c>
      <c r="J102">
        <v>6716.8495296888796</v>
      </c>
      <c r="K102">
        <v>6716.8495296888796</v>
      </c>
    </row>
    <row r="103" spans="1:11" x14ac:dyDescent="0.25">
      <c r="A103" t="s">
        <v>151</v>
      </c>
      <c r="B103" t="s">
        <v>27</v>
      </c>
      <c r="C103" t="s">
        <v>52</v>
      </c>
      <c r="D103">
        <v>2030</v>
      </c>
      <c r="E103" t="s">
        <v>118</v>
      </c>
      <c r="F103" t="s">
        <v>108</v>
      </c>
      <c r="G103" t="s">
        <v>52</v>
      </c>
      <c r="H103">
        <v>15238.408806724705</v>
      </c>
      <c r="I103">
        <v>907355.81398761575</v>
      </c>
      <c r="J103">
        <v>0</v>
      </c>
      <c r="K103">
        <v>907355.81398761575</v>
      </c>
    </row>
    <row r="104" spans="1:11" x14ac:dyDescent="0.25">
      <c r="A104" t="s">
        <v>151</v>
      </c>
      <c r="B104" t="s">
        <v>27</v>
      </c>
      <c r="C104" t="s">
        <v>29</v>
      </c>
      <c r="D104">
        <v>2030</v>
      </c>
      <c r="E104" t="s">
        <v>118</v>
      </c>
      <c r="F104" t="s">
        <v>108</v>
      </c>
      <c r="G104" t="s">
        <v>29</v>
      </c>
      <c r="H104">
        <v>71.270611166506612</v>
      </c>
      <c r="I104">
        <v>1774.6382180460148</v>
      </c>
      <c r="J104">
        <v>0</v>
      </c>
      <c r="K104">
        <v>1774.6382180460148</v>
      </c>
    </row>
    <row r="105" spans="1:11" x14ac:dyDescent="0.25">
      <c r="A105" t="s">
        <v>151</v>
      </c>
      <c r="B105" t="s">
        <v>27</v>
      </c>
      <c r="C105" t="s">
        <v>30</v>
      </c>
      <c r="D105">
        <v>2030</v>
      </c>
      <c r="E105" t="s">
        <v>118</v>
      </c>
      <c r="F105" t="s">
        <v>108</v>
      </c>
      <c r="G105" t="s">
        <v>30</v>
      </c>
      <c r="H105">
        <v>1125.1782236252373</v>
      </c>
      <c r="I105">
        <v>57344.797466919234</v>
      </c>
      <c r="J105">
        <v>0</v>
      </c>
      <c r="K105">
        <v>57344.797466919234</v>
      </c>
    </row>
    <row r="106" spans="1:11" x14ac:dyDescent="0.25">
      <c r="A106" t="s">
        <v>151</v>
      </c>
      <c r="B106" t="s">
        <v>27</v>
      </c>
      <c r="C106" t="s">
        <v>54</v>
      </c>
      <c r="D106">
        <v>2030</v>
      </c>
      <c r="E106" t="s">
        <v>118</v>
      </c>
      <c r="F106" t="s">
        <v>108</v>
      </c>
      <c r="G106" t="s">
        <v>54</v>
      </c>
      <c r="H106">
        <v>29.519410101552374</v>
      </c>
      <c r="I106">
        <v>2878.2746613644977</v>
      </c>
      <c r="J106">
        <v>0</v>
      </c>
      <c r="K106">
        <v>2878.2746613644977</v>
      </c>
    </row>
    <row r="107" spans="1:11" x14ac:dyDescent="0.25">
      <c r="A107" t="s">
        <v>151</v>
      </c>
      <c r="B107" t="s">
        <v>27</v>
      </c>
      <c r="C107" t="s">
        <v>53</v>
      </c>
      <c r="D107">
        <v>2030</v>
      </c>
      <c r="E107" t="s">
        <v>118</v>
      </c>
      <c r="F107" t="s">
        <v>108</v>
      </c>
      <c r="G107" t="s">
        <v>53</v>
      </c>
      <c r="H107">
        <v>3810.512240832039</v>
      </c>
      <c r="I107">
        <v>203527.0798073209</v>
      </c>
      <c r="J107">
        <v>0</v>
      </c>
      <c r="K107">
        <v>203527.0798073209</v>
      </c>
    </row>
    <row r="108" spans="1:11" x14ac:dyDescent="0.25">
      <c r="A108" t="s">
        <v>151</v>
      </c>
      <c r="B108" t="s">
        <v>27</v>
      </c>
      <c r="C108" t="s">
        <v>40</v>
      </c>
      <c r="D108">
        <v>2030</v>
      </c>
      <c r="E108" t="s">
        <v>118</v>
      </c>
      <c r="F108" t="s">
        <v>108</v>
      </c>
      <c r="G108" t="s">
        <v>40</v>
      </c>
      <c r="H108">
        <v>64.915351748399516</v>
      </c>
      <c r="I108">
        <v>661.35760361269433</v>
      </c>
      <c r="J108">
        <v>0</v>
      </c>
      <c r="K108">
        <v>661.35760361269433</v>
      </c>
    </row>
    <row r="109" spans="1:11" x14ac:dyDescent="0.25">
      <c r="A109" t="s">
        <v>151</v>
      </c>
      <c r="B109" t="s">
        <v>27</v>
      </c>
      <c r="C109" t="s">
        <v>79</v>
      </c>
      <c r="D109">
        <v>2030</v>
      </c>
      <c r="E109" t="s">
        <v>118</v>
      </c>
      <c r="F109" t="s">
        <v>108</v>
      </c>
      <c r="G109" t="s">
        <v>79</v>
      </c>
      <c r="H109">
        <v>1148.0865099527102</v>
      </c>
      <c r="I109">
        <v>41049.984951674072</v>
      </c>
      <c r="J109">
        <v>0</v>
      </c>
      <c r="K109">
        <v>41049.984951674072</v>
      </c>
    </row>
    <row r="110" spans="1:11" x14ac:dyDescent="0.25">
      <c r="A110" t="s">
        <v>151</v>
      </c>
      <c r="B110" t="s">
        <v>27</v>
      </c>
      <c r="C110" t="s">
        <v>74</v>
      </c>
      <c r="D110">
        <v>2030</v>
      </c>
      <c r="E110" t="s">
        <v>118</v>
      </c>
      <c r="F110" t="s">
        <v>108</v>
      </c>
      <c r="G110" t="s">
        <v>51</v>
      </c>
      <c r="H110">
        <v>2833.816076318562</v>
      </c>
      <c r="I110">
        <v>48590.403999036746</v>
      </c>
      <c r="J110">
        <v>11643.583494377708</v>
      </c>
      <c r="K110">
        <v>11643.583494377708</v>
      </c>
    </row>
    <row r="111" spans="1:11" x14ac:dyDescent="0.25">
      <c r="A111" t="s">
        <v>151</v>
      </c>
      <c r="B111" t="s">
        <v>27</v>
      </c>
      <c r="C111" t="s">
        <v>77</v>
      </c>
      <c r="D111">
        <v>2030</v>
      </c>
      <c r="E111" t="s">
        <v>118</v>
      </c>
      <c r="F111" t="s">
        <v>108</v>
      </c>
      <c r="G111" t="s">
        <v>77</v>
      </c>
      <c r="H111">
        <v>325.58580566036647</v>
      </c>
      <c r="I111">
        <v>19535.148339621988</v>
      </c>
      <c r="J111">
        <v>0</v>
      </c>
      <c r="K111">
        <v>19535.148339621988</v>
      </c>
    </row>
    <row r="112" spans="1:11" x14ac:dyDescent="0.25">
      <c r="A112" t="s">
        <v>151</v>
      </c>
      <c r="B112" t="s">
        <v>27</v>
      </c>
      <c r="C112" t="s">
        <v>64</v>
      </c>
      <c r="D112">
        <v>2030</v>
      </c>
      <c r="E112" t="s">
        <v>118</v>
      </c>
      <c r="F112" t="s">
        <v>108</v>
      </c>
      <c r="G112" t="s">
        <v>64</v>
      </c>
      <c r="H112">
        <v>534.73194997058431</v>
      </c>
      <c r="I112">
        <v>15650.691218651249</v>
      </c>
      <c r="J112">
        <v>0</v>
      </c>
      <c r="K112">
        <v>15650.691218651249</v>
      </c>
    </row>
    <row r="113" spans="1:11" x14ac:dyDescent="0.25">
      <c r="A113" t="s">
        <v>151</v>
      </c>
      <c r="B113" t="s">
        <v>27</v>
      </c>
      <c r="C113" t="s">
        <v>119</v>
      </c>
      <c r="D113">
        <v>2030</v>
      </c>
      <c r="E113" t="s">
        <v>118</v>
      </c>
      <c r="F113" t="s">
        <v>108</v>
      </c>
      <c r="G113" t="s">
        <v>52</v>
      </c>
      <c r="H113">
        <v>15114.23333078555</v>
      </c>
      <c r="I113">
        <v>250110.33315783931</v>
      </c>
      <c r="J113">
        <v>0</v>
      </c>
      <c r="K113">
        <v>250110.33315783931</v>
      </c>
    </row>
    <row r="114" spans="1:11" x14ac:dyDescent="0.25">
      <c r="A114" t="s">
        <v>151</v>
      </c>
      <c r="B114" t="s">
        <v>27</v>
      </c>
      <c r="C114" t="s">
        <v>28</v>
      </c>
      <c r="D114">
        <v>2050</v>
      </c>
      <c r="E114" t="s">
        <v>118</v>
      </c>
      <c r="F114" t="s">
        <v>108</v>
      </c>
      <c r="G114" t="s">
        <v>28</v>
      </c>
      <c r="H114">
        <v>0</v>
      </c>
      <c r="I114">
        <v>0</v>
      </c>
      <c r="J114">
        <v>0</v>
      </c>
      <c r="K114">
        <v>0</v>
      </c>
    </row>
    <row r="115" spans="1:11" x14ac:dyDescent="0.25">
      <c r="A115" t="s">
        <v>151</v>
      </c>
      <c r="B115" t="s">
        <v>27</v>
      </c>
      <c r="C115" t="s">
        <v>33</v>
      </c>
      <c r="D115">
        <v>2050</v>
      </c>
      <c r="E115" t="s">
        <v>118</v>
      </c>
      <c r="F115" t="s">
        <v>108</v>
      </c>
      <c r="G115" t="s">
        <v>33</v>
      </c>
      <c r="H115">
        <v>0</v>
      </c>
      <c r="I115">
        <v>0</v>
      </c>
      <c r="J115">
        <v>0</v>
      </c>
      <c r="K115">
        <v>0</v>
      </c>
    </row>
    <row r="116" spans="1:11" x14ac:dyDescent="0.25">
      <c r="A116" t="s">
        <v>151</v>
      </c>
      <c r="B116" t="s">
        <v>27</v>
      </c>
      <c r="C116" t="s">
        <v>71</v>
      </c>
      <c r="D116">
        <v>2050</v>
      </c>
      <c r="E116" t="s">
        <v>118</v>
      </c>
      <c r="F116" t="s">
        <v>108</v>
      </c>
      <c r="G116" t="s">
        <v>71</v>
      </c>
      <c r="H116">
        <v>0</v>
      </c>
      <c r="I116">
        <v>0</v>
      </c>
      <c r="J116">
        <v>0</v>
      </c>
      <c r="K116">
        <v>0</v>
      </c>
    </row>
    <row r="117" spans="1:11" x14ac:dyDescent="0.25">
      <c r="A117" t="s">
        <v>151</v>
      </c>
      <c r="B117" t="s">
        <v>27</v>
      </c>
      <c r="C117" t="s">
        <v>52</v>
      </c>
      <c r="D117">
        <v>2050</v>
      </c>
      <c r="E117" t="s">
        <v>118</v>
      </c>
      <c r="F117" t="s">
        <v>108</v>
      </c>
      <c r="G117" t="s">
        <v>52</v>
      </c>
      <c r="H117">
        <v>0</v>
      </c>
      <c r="I117">
        <v>0</v>
      </c>
      <c r="J117">
        <v>0</v>
      </c>
      <c r="K117">
        <v>0</v>
      </c>
    </row>
    <row r="118" spans="1:11" x14ac:dyDescent="0.25">
      <c r="A118" t="s">
        <v>151</v>
      </c>
      <c r="B118" t="s">
        <v>27</v>
      </c>
      <c r="C118" t="s">
        <v>29</v>
      </c>
      <c r="D118">
        <v>2050</v>
      </c>
      <c r="E118" t="s">
        <v>118</v>
      </c>
      <c r="F118" t="s">
        <v>108</v>
      </c>
      <c r="G118" t="s">
        <v>29</v>
      </c>
      <c r="H118">
        <v>0</v>
      </c>
      <c r="I118">
        <v>0</v>
      </c>
      <c r="J118">
        <v>0</v>
      </c>
      <c r="K118">
        <v>0</v>
      </c>
    </row>
    <row r="119" spans="1:11" x14ac:dyDescent="0.25">
      <c r="A119" t="s">
        <v>151</v>
      </c>
      <c r="B119" t="s">
        <v>27</v>
      </c>
      <c r="C119" t="s">
        <v>30</v>
      </c>
      <c r="D119">
        <v>2050</v>
      </c>
      <c r="E119" t="s">
        <v>118</v>
      </c>
      <c r="F119" t="s">
        <v>108</v>
      </c>
      <c r="G119" t="s">
        <v>30</v>
      </c>
      <c r="H119">
        <v>0</v>
      </c>
      <c r="I119">
        <v>0</v>
      </c>
      <c r="J119">
        <v>0</v>
      </c>
      <c r="K119">
        <v>0</v>
      </c>
    </row>
    <row r="120" spans="1:11" x14ac:dyDescent="0.25">
      <c r="A120" t="s">
        <v>151</v>
      </c>
      <c r="B120" t="s">
        <v>27</v>
      </c>
      <c r="C120" t="s">
        <v>54</v>
      </c>
      <c r="D120">
        <v>2050</v>
      </c>
      <c r="E120" t="s">
        <v>118</v>
      </c>
      <c r="F120" t="s">
        <v>108</v>
      </c>
      <c r="G120" t="s">
        <v>54</v>
      </c>
      <c r="H120">
        <v>0</v>
      </c>
      <c r="I120">
        <v>0</v>
      </c>
      <c r="J120">
        <v>0</v>
      </c>
      <c r="K120">
        <v>0</v>
      </c>
    </row>
    <row r="121" spans="1:11" x14ac:dyDescent="0.25">
      <c r="A121" t="s">
        <v>151</v>
      </c>
      <c r="B121" t="s">
        <v>27</v>
      </c>
      <c r="C121" t="s">
        <v>53</v>
      </c>
      <c r="D121">
        <v>2050</v>
      </c>
      <c r="E121" t="s">
        <v>118</v>
      </c>
      <c r="F121" t="s">
        <v>108</v>
      </c>
      <c r="G121" t="s">
        <v>53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 t="s">
        <v>151</v>
      </c>
      <c r="B122" t="s">
        <v>27</v>
      </c>
      <c r="C122" t="s">
        <v>40</v>
      </c>
      <c r="D122">
        <v>2050</v>
      </c>
      <c r="E122" t="s">
        <v>118</v>
      </c>
      <c r="F122" t="s">
        <v>108</v>
      </c>
      <c r="G122" t="s">
        <v>40</v>
      </c>
      <c r="H122">
        <v>0</v>
      </c>
      <c r="I122">
        <v>0</v>
      </c>
      <c r="J122">
        <v>0</v>
      </c>
      <c r="K122">
        <v>0</v>
      </c>
    </row>
    <row r="123" spans="1:11" x14ac:dyDescent="0.25">
      <c r="A123" t="s">
        <v>151</v>
      </c>
      <c r="B123" t="s">
        <v>27</v>
      </c>
      <c r="C123" t="s">
        <v>79</v>
      </c>
      <c r="D123">
        <v>2050</v>
      </c>
      <c r="E123" t="s">
        <v>118</v>
      </c>
      <c r="F123" t="s">
        <v>108</v>
      </c>
      <c r="G123" t="s">
        <v>79</v>
      </c>
      <c r="H123">
        <v>0</v>
      </c>
      <c r="I123">
        <v>0</v>
      </c>
      <c r="J123">
        <v>0</v>
      </c>
      <c r="K123">
        <v>0</v>
      </c>
    </row>
    <row r="124" spans="1:11" x14ac:dyDescent="0.25">
      <c r="A124" t="s">
        <v>151</v>
      </c>
      <c r="B124" t="s">
        <v>27</v>
      </c>
      <c r="C124" t="s">
        <v>74</v>
      </c>
      <c r="D124">
        <v>2050</v>
      </c>
      <c r="E124" t="s">
        <v>118</v>
      </c>
      <c r="F124" t="s">
        <v>108</v>
      </c>
      <c r="G124" t="s">
        <v>74</v>
      </c>
      <c r="H124">
        <v>0</v>
      </c>
      <c r="I124">
        <v>0</v>
      </c>
      <c r="J124">
        <v>0</v>
      </c>
      <c r="K124">
        <v>0</v>
      </c>
    </row>
    <row r="125" spans="1:11" x14ac:dyDescent="0.25">
      <c r="A125" t="s">
        <v>151</v>
      </c>
      <c r="B125" t="s">
        <v>27</v>
      </c>
      <c r="C125" t="s">
        <v>77</v>
      </c>
      <c r="D125">
        <v>2050</v>
      </c>
      <c r="E125" t="s">
        <v>118</v>
      </c>
      <c r="F125" t="s">
        <v>108</v>
      </c>
      <c r="G125" t="s">
        <v>77</v>
      </c>
      <c r="H125">
        <v>0</v>
      </c>
      <c r="I125">
        <v>0</v>
      </c>
      <c r="J125">
        <v>0</v>
      </c>
      <c r="K125">
        <v>0</v>
      </c>
    </row>
    <row r="126" spans="1:11" x14ac:dyDescent="0.25">
      <c r="A126" t="s">
        <v>151</v>
      </c>
      <c r="B126" t="s">
        <v>27</v>
      </c>
      <c r="C126" t="s">
        <v>64</v>
      </c>
      <c r="D126">
        <v>2050</v>
      </c>
      <c r="E126" t="s">
        <v>118</v>
      </c>
      <c r="F126" t="s">
        <v>108</v>
      </c>
      <c r="G126" t="s">
        <v>64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 t="s">
        <v>151</v>
      </c>
      <c r="B127" t="s">
        <v>27</v>
      </c>
      <c r="C127" t="s">
        <v>119</v>
      </c>
      <c r="D127">
        <v>2050</v>
      </c>
      <c r="E127" t="s">
        <v>118</v>
      </c>
      <c r="F127" t="s">
        <v>108</v>
      </c>
      <c r="G127" t="s">
        <v>52</v>
      </c>
      <c r="H127">
        <v>0</v>
      </c>
      <c r="I127">
        <v>0</v>
      </c>
      <c r="J127">
        <v>0</v>
      </c>
      <c r="K127">
        <v>0</v>
      </c>
    </row>
    <row r="128" spans="1:11" x14ac:dyDescent="0.25">
      <c r="A128" t="s">
        <v>151</v>
      </c>
      <c r="B128" t="s">
        <v>27</v>
      </c>
      <c r="C128" t="s">
        <v>28</v>
      </c>
      <c r="D128">
        <v>2019</v>
      </c>
      <c r="E128" t="s">
        <v>120</v>
      </c>
      <c r="F128" t="s">
        <v>108</v>
      </c>
      <c r="G128" t="s">
        <v>51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151</v>
      </c>
      <c r="B129" t="s">
        <v>27</v>
      </c>
      <c r="C129" t="s">
        <v>33</v>
      </c>
      <c r="D129">
        <v>2019</v>
      </c>
      <c r="E129" t="s">
        <v>120</v>
      </c>
      <c r="F129" t="s">
        <v>108</v>
      </c>
      <c r="G129" t="s">
        <v>51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151</v>
      </c>
      <c r="B130" t="s">
        <v>27</v>
      </c>
      <c r="C130" t="s">
        <v>71</v>
      </c>
      <c r="D130">
        <v>2019</v>
      </c>
      <c r="E130" t="s">
        <v>120</v>
      </c>
      <c r="F130" t="s">
        <v>108</v>
      </c>
      <c r="G130" t="s">
        <v>51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151</v>
      </c>
      <c r="B131" t="s">
        <v>27</v>
      </c>
      <c r="C131" t="s">
        <v>52</v>
      </c>
      <c r="D131">
        <v>2019</v>
      </c>
      <c r="E131" t="s">
        <v>120</v>
      </c>
      <c r="F131" t="s">
        <v>108</v>
      </c>
      <c r="G131" t="s">
        <v>52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151</v>
      </c>
      <c r="B132" t="s">
        <v>27</v>
      </c>
      <c r="C132" t="s">
        <v>29</v>
      </c>
      <c r="D132">
        <v>2019</v>
      </c>
      <c r="E132" t="s">
        <v>120</v>
      </c>
      <c r="F132" t="s">
        <v>108</v>
      </c>
      <c r="G132" t="s">
        <v>29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151</v>
      </c>
      <c r="B133" t="s">
        <v>27</v>
      </c>
      <c r="C133" t="s">
        <v>30</v>
      </c>
      <c r="D133">
        <v>2019</v>
      </c>
      <c r="E133" t="s">
        <v>120</v>
      </c>
      <c r="F133" t="s">
        <v>108</v>
      </c>
      <c r="G133" t="s">
        <v>30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151</v>
      </c>
      <c r="B134" t="s">
        <v>27</v>
      </c>
      <c r="C134" t="s">
        <v>54</v>
      </c>
      <c r="D134">
        <v>2019</v>
      </c>
      <c r="E134" t="s">
        <v>120</v>
      </c>
      <c r="F134" t="s">
        <v>108</v>
      </c>
      <c r="G134" t="s">
        <v>54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151</v>
      </c>
      <c r="B135" t="s">
        <v>27</v>
      </c>
      <c r="C135" t="s">
        <v>53</v>
      </c>
      <c r="D135">
        <v>2019</v>
      </c>
      <c r="E135" t="s">
        <v>120</v>
      </c>
      <c r="F135" t="s">
        <v>108</v>
      </c>
      <c r="G135" t="s">
        <v>53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151</v>
      </c>
      <c r="B136" t="s">
        <v>27</v>
      </c>
      <c r="C136" t="s">
        <v>40</v>
      </c>
      <c r="D136">
        <v>2019</v>
      </c>
      <c r="E136" t="s">
        <v>120</v>
      </c>
      <c r="F136" t="s">
        <v>108</v>
      </c>
      <c r="G136" t="s">
        <v>40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151</v>
      </c>
      <c r="B137" t="s">
        <v>27</v>
      </c>
      <c r="C137" t="s">
        <v>79</v>
      </c>
      <c r="D137">
        <v>2019</v>
      </c>
      <c r="E137" t="s">
        <v>120</v>
      </c>
      <c r="F137" t="s">
        <v>108</v>
      </c>
      <c r="G137" t="s">
        <v>79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151</v>
      </c>
      <c r="B138" t="s">
        <v>27</v>
      </c>
      <c r="C138" t="s">
        <v>74</v>
      </c>
      <c r="D138">
        <v>2019</v>
      </c>
      <c r="E138" t="s">
        <v>120</v>
      </c>
      <c r="F138" t="s">
        <v>108</v>
      </c>
      <c r="G138" t="s">
        <v>51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151</v>
      </c>
      <c r="B139" t="s">
        <v>27</v>
      </c>
      <c r="C139" t="s">
        <v>77</v>
      </c>
      <c r="D139">
        <v>2019</v>
      </c>
      <c r="E139" t="s">
        <v>120</v>
      </c>
      <c r="F139" t="s">
        <v>108</v>
      </c>
      <c r="G139" t="s">
        <v>77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151</v>
      </c>
      <c r="B140" t="s">
        <v>27</v>
      </c>
      <c r="C140" t="s">
        <v>64</v>
      </c>
      <c r="D140">
        <v>2019</v>
      </c>
      <c r="E140" t="s">
        <v>120</v>
      </c>
      <c r="F140" t="s">
        <v>108</v>
      </c>
      <c r="G140" t="s">
        <v>64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151</v>
      </c>
      <c r="B141" t="s">
        <v>27</v>
      </c>
      <c r="C141" t="s">
        <v>119</v>
      </c>
      <c r="D141">
        <v>2019</v>
      </c>
      <c r="E141" t="s">
        <v>120</v>
      </c>
      <c r="F141" t="s">
        <v>108</v>
      </c>
      <c r="G141" t="s">
        <v>52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151</v>
      </c>
      <c r="B142" t="s">
        <v>27</v>
      </c>
      <c r="C142" t="s">
        <v>28</v>
      </c>
      <c r="D142">
        <v>2030</v>
      </c>
      <c r="E142" t="s">
        <v>120</v>
      </c>
      <c r="F142" t="s">
        <v>108</v>
      </c>
      <c r="G142" t="s">
        <v>51</v>
      </c>
      <c r="H142">
        <v>2807.5542749488609</v>
      </c>
      <c r="I142">
        <v>15823.488195782778</v>
      </c>
      <c r="J142">
        <v>7449.6982425745337</v>
      </c>
      <c r="K142">
        <v>7449.6982425745337</v>
      </c>
    </row>
    <row r="143" spans="1:11" x14ac:dyDescent="0.25">
      <c r="A143" t="s">
        <v>151</v>
      </c>
      <c r="B143" t="s">
        <v>27</v>
      </c>
      <c r="C143" t="s">
        <v>33</v>
      </c>
      <c r="D143">
        <v>2030</v>
      </c>
      <c r="E143" t="s">
        <v>120</v>
      </c>
      <c r="F143" t="s">
        <v>108</v>
      </c>
      <c r="G143" t="s">
        <v>51</v>
      </c>
      <c r="H143">
        <v>240.67535259190402</v>
      </c>
      <c r="I143">
        <v>635.44069292724873</v>
      </c>
      <c r="J143">
        <v>272.10953295450639</v>
      </c>
      <c r="K143">
        <v>272.10953295450639</v>
      </c>
    </row>
    <row r="144" spans="1:11" x14ac:dyDescent="0.25">
      <c r="A144" t="s">
        <v>151</v>
      </c>
      <c r="B144" t="s">
        <v>27</v>
      </c>
      <c r="C144" t="s">
        <v>71</v>
      </c>
      <c r="D144">
        <v>2030</v>
      </c>
      <c r="E144" t="s">
        <v>120</v>
      </c>
      <c r="F144" t="s">
        <v>108</v>
      </c>
      <c r="G144" t="s">
        <v>51</v>
      </c>
      <c r="H144">
        <v>257.71107572742682</v>
      </c>
      <c r="I144">
        <v>748.3929639124475</v>
      </c>
      <c r="J144">
        <v>576.56193939814955</v>
      </c>
      <c r="K144">
        <v>576.56193939814955</v>
      </c>
    </row>
    <row r="145" spans="1:11" x14ac:dyDescent="0.25">
      <c r="A145" t="s">
        <v>151</v>
      </c>
      <c r="B145" t="s">
        <v>27</v>
      </c>
      <c r="C145" t="s">
        <v>52</v>
      </c>
      <c r="D145">
        <v>2030</v>
      </c>
      <c r="E145" t="s">
        <v>120</v>
      </c>
      <c r="F145" t="s">
        <v>108</v>
      </c>
      <c r="G145" t="s">
        <v>52</v>
      </c>
      <c r="H145">
        <v>2378.2487733038556</v>
      </c>
      <c r="I145">
        <v>110456.14706693174</v>
      </c>
      <c r="J145">
        <v>0</v>
      </c>
      <c r="K145">
        <v>110456.14706693174</v>
      </c>
    </row>
    <row r="146" spans="1:11" x14ac:dyDescent="0.25">
      <c r="A146" t="s">
        <v>151</v>
      </c>
      <c r="B146" t="s">
        <v>27</v>
      </c>
      <c r="C146" t="s">
        <v>29</v>
      </c>
      <c r="D146">
        <v>2030</v>
      </c>
      <c r="E146" t="s">
        <v>120</v>
      </c>
      <c r="F146" t="s">
        <v>108</v>
      </c>
      <c r="G146" t="s">
        <v>29</v>
      </c>
      <c r="H146">
        <v>11.123158968183114</v>
      </c>
      <c r="I146">
        <v>157.87099523542295</v>
      </c>
      <c r="J146">
        <v>0</v>
      </c>
      <c r="K146">
        <v>157.87099523542295</v>
      </c>
    </row>
    <row r="147" spans="1:11" x14ac:dyDescent="0.25">
      <c r="A147" t="s">
        <v>151</v>
      </c>
      <c r="B147" t="s">
        <v>27</v>
      </c>
      <c r="C147" t="s">
        <v>30</v>
      </c>
      <c r="D147">
        <v>2030</v>
      </c>
      <c r="E147" t="s">
        <v>120</v>
      </c>
      <c r="F147" t="s">
        <v>108</v>
      </c>
      <c r="G147" t="s">
        <v>30</v>
      </c>
      <c r="H147">
        <v>175.60584992995032</v>
      </c>
      <c r="I147">
        <v>5101.3666648317167</v>
      </c>
      <c r="J147">
        <v>0</v>
      </c>
      <c r="K147">
        <v>5101.3666648317167</v>
      </c>
    </row>
    <row r="148" spans="1:11" x14ac:dyDescent="0.25">
      <c r="A148" t="s">
        <v>151</v>
      </c>
      <c r="B148" t="s">
        <v>27</v>
      </c>
      <c r="C148" t="s">
        <v>54</v>
      </c>
      <c r="D148">
        <v>2030</v>
      </c>
      <c r="E148" t="s">
        <v>120</v>
      </c>
      <c r="F148" t="s">
        <v>108</v>
      </c>
      <c r="G148" t="s">
        <v>54</v>
      </c>
      <c r="H148">
        <v>4.6070755649821624</v>
      </c>
      <c r="I148">
        <v>256.04998288092264</v>
      </c>
      <c r="J148">
        <v>0</v>
      </c>
      <c r="K148">
        <v>256.04998288092264</v>
      </c>
    </row>
    <row r="149" spans="1:11" x14ac:dyDescent="0.25">
      <c r="A149" t="s">
        <v>151</v>
      </c>
      <c r="B149" t="s">
        <v>27</v>
      </c>
      <c r="C149" t="s">
        <v>53</v>
      </c>
      <c r="D149">
        <v>2030</v>
      </c>
      <c r="E149" t="s">
        <v>120</v>
      </c>
      <c r="F149" t="s">
        <v>108</v>
      </c>
      <c r="G149" t="s">
        <v>53</v>
      </c>
      <c r="H149">
        <v>594.7042225576015</v>
      </c>
      <c r="I149">
        <v>26364.40380625469</v>
      </c>
      <c r="J149">
        <v>0</v>
      </c>
      <c r="K149">
        <v>26364.40380625469</v>
      </c>
    </row>
    <row r="150" spans="1:11" x14ac:dyDescent="0.25">
      <c r="A150" t="s">
        <v>151</v>
      </c>
      <c r="B150" t="s">
        <v>27</v>
      </c>
      <c r="C150" t="s">
        <v>40</v>
      </c>
      <c r="D150">
        <v>2030</v>
      </c>
      <c r="E150" t="s">
        <v>120</v>
      </c>
      <c r="F150" t="s">
        <v>108</v>
      </c>
      <c r="G150" t="s">
        <v>40</v>
      </c>
      <c r="H150">
        <v>10.131297671715533</v>
      </c>
      <c r="I150">
        <v>58.83406658727958</v>
      </c>
      <c r="J150">
        <v>0</v>
      </c>
      <c r="K150">
        <v>58.83406658727958</v>
      </c>
    </row>
    <row r="151" spans="1:11" x14ac:dyDescent="0.25">
      <c r="A151" t="s">
        <v>151</v>
      </c>
      <c r="B151" t="s">
        <v>27</v>
      </c>
      <c r="C151" t="s">
        <v>79</v>
      </c>
      <c r="D151">
        <v>2030</v>
      </c>
      <c r="E151" t="s">
        <v>120</v>
      </c>
      <c r="F151" t="s">
        <v>108</v>
      </c>
      <c r="G151" t="s">
        <v>79</v>
      </c>
      <c r="H151">
        <v>179.18113161111663</v>
      </c>
      <c r="I151">
        <v>3651.7876786489246</v>
      </c>
      <c r="J151">
        <v>0</v>
      </c>
      <c r="K151">
        <v>3651.7876786489246</v>
      </c>
    </row>
    <row r="152" spans="1:11" x14ac:dyDescent="0.25">
      <c r="A152" t="s">
        <v>151</v>
      </c>
      <c r="B152" t="s">
        <v>27</v>
      </c>
      <c r="C152" t="s">
        <v>74</v>
      </c>
      <c r="D152">
        <v>2030</v>
      </c>
      <c r="E152" t="s">
        <v>120</v>
      </c>
      <c r="F152" t="s">
        <v>108</v>
      </c>
      <c r="G152" t="s">
        <v>51</v>
      </c>
      <c r="H152">
        <v>442.27187318266579</v>
      </c>
      <c r="I152">
        <v>4322.5798702033262</v>
      </c>
      <c r="J152">
        <v>1035.8078033437741</v>
      </c>
      <c r="K152">
        <v>1035.8078033437741</v>
      </c>
    </row>
    <row r="153" spans="1:11" x14ac:dyDescent="0.25">
      <c r="A153" t="s">
        <v>151</v>
      </c>
      <c r="B153" t="s">
        <v>27</v>
      </c>
      <c r="C153" t="s">
        <v>77</v>
      </c>
      <c r="D153">
        <v>2030</v>
      </c>
      <c r="E153" t="s">
        <v>120</v>
      </c>
      <c r="F153" t="s">
        <v>108</v>
      </c>
      <c r="G153" t="s">
        <v>77</v>
      </c>
      <c r="H153">
        <v>50.813969669536974</v>
      </c>
      <c r="I153">
        <v>1737.8377626981642</v>
      </c>
      <c r="J153">
        <v>0</v>
      </c>
      <c r="K153">
        <v>1737.8377626981642</v>
      </c>
    </row>
    <row r="154" spans="1:11" x14ac:dyDescent="0.25">
      <c r="A154" t="s">
        <v>151</v>
      </c>
      <c r="B154" t="s">
        <v>27</v>
      </c>
      <c r="C154" t="s">
        <v>64</v>
      </c>
      <c r="D154">
        <v>2030</v>
      </c>
      <c r="E154" t="s">
        <v>120</v>
      </c>
      <c r="F154" t="s">
        <v>108</v>
      </c>
      <c r="G154" t="s">
        <v>64</v>
      </c>
      <c r="H154">
        <v>83.455275428935138</v>
      </c>
      <c r="I154">
        <v>1392.2782534973571</v>
      </c>
      <c r="J154">
        <v>0</v>
      </c>
      <c r="K154">
        <v>1392.2782534973571</v>
      </c>
    </row>
    <row r="155" spans="1:11" x14ac:dyDescent="0.25">
      <c r="A155" t="s">
        <v>151</v>
      </c>
      <c r="B155" t="s">
        <v>27</v>
      </c>
      <c r="C155" t="s">
        <v>119</v>
      </c>
      <c r="D155">
        <v>2030</v>
      </c>
      <c r="E155" t="s">
        <v>120</v>
      </c>
      <c r="F155" t="s">
        <v>108</v>
      </c>
      <c r="G155" t="s">
        <v>52</v>
      </c>
      <c r="H155">
        <v>2358.8687857295367</v>
      </c>
      <c r="I155">
        <v>39034.560666252371</v>
      </c>
      <c r="J155">
        <v>0</v>
      </c>
      <c r="K155">
        <v>39034.560666252371</v>
      </c>
    </row>
    <row r="156" spans="1:11" x14ac:dyDescent="0.25">
      <c r="A156" t="s">
        <v>151</v>
      </c>
      <c r="B156" t="s">
        <v>27</v>
      </c>
      <c r="C156" t="s">
        <v>28</v>
      </c>
      <c r="D156">
        <v>2050</v>
      </c>
      <c r="E156" t="s">
        <v>120</v>
      </c>
      <c r="F156" t="s">
        <v>108</v>
      </c>
      <c r="G156" t="s">
        <v>28</v>
      </c>
      <c r="H156">
        <v>0</v>
      </c>
      <c r="I156">
        <v>0</v>
      </c>
      <c r="J156">
        <v>0</v>
      </c>
      <c r="K156">
        <v>0</v>
      </c>
    </row>
    <row r="157" spans="1:11" x14ac:dyDescent="0.25">
      <c r="A157" t="s">
        <v>151</v>
      </c>
      <c r="B157" t="s">
        <v>27</v>
      </c>
      <c r="C157" t="s">
        <v>33</v>
      </c>
      <c r="D157">
        <v>2050</v>
      </c>
      <c r="E157" t="s">
        <v>120</v>
      </c>
      <c r="F157" t="s">
        <v>108</v>
      </c>
      <c r="G157" t="s">
        <v>33</v>
      </c>
      <c r="H157">
        <v>0</v>
      </c>
      <c r="I157">
        <v>0</v>
      </c>
      <c r="J157">
        <v>0</v>
      </c>
      <c r="K157">
        <v>0</v>
      </c>
    </row>
    <row r="158" spans="1:11" x14ac:dyDescent="0.25">
      <c r="A158" t="s">
        <v>151</v>
      </c>
      <c r="B158" t="s">
        <v>27</v>
      </c>
      <c r="C158" t="s">
        <v>71</v>
      </c>
      <c r="D158">
        <v>2050</v>
      </c>
      <c r="E158" t="s">
        <v>120</v>
      </c>
      <c r="F158" t="s">
        <v>108</v>
      </c>
      <c r="G158" t="s">
        <v>71</v>
      </c>
      <c r="H158">
        <v>0</v>
      </c>
      <c r="I158">
        <v>0</v>
      </c>
      <c r="J158">
        <v>0</v>
      </c>
      <c r="K158">
        <v>0</v>
      </c>
    </row>
    <row r="159" spans="1:11" x14ac:dyDescent="0.25">
      <c r="A159" t="s">
        <v>151</v>
      </c>
      <c r="B159" t="s">
        <v>27</v>
      </c>
      <c r="C159" t="s">
        <v>52</v>
      </c>
      <c r="D159">
        <v>2050</v>
      </c>
      <c r="E159" t="s">
        <v>120</v>
      </c>
      <c r="F159" t="s">
        <v>108</v>
      </c>
      <c r="G159" t="s">
        <v>52</v>
      </c>
      <c r="H159">
        <v>0</v>
      </c>
      <c r="I159">
        <v>0</v>
      </c>
      <c r="J159">
        <v>0</v>
      </c>
      <c r="K159">
        <v>0</v>
      </c>
    </row>
    <row r="160" spans="1:11" x14ac:dyDescent="0.25">
      <c r="A160" t="s">
        <v>151</v>
      </c>
      <c r="B160" t="s">
        <v>27</v>
      </c>
      <c r="C160" t="s">
        <v>29</v>
      </c>
      <c r="D160">
        <v>2050</v>
      </c>
      <c r="E160" t="s">
        <v>120</v>
      </c>
      <c r="F160" t="s">
        <v>108</v>
      </c>
      <c r="G160" t="s">
        <v>29</v>
      </c>
      <c r="H160">
        <v>0</v>
      </c>
      <c r="I160">
        <v>0</v>
      </c>
      <c r="J160">
        <v>0</v>
      </c>
      <c r="K160">
        <v>0</v>
      </c>
    </row>
    <row r="161" spans="1:11" x14ac:dyDescent="0.25">
      <c r="A161" t="s">
        <v>151</v>
      </c>
      <c r="B161" t="s">
        <v>27</v>
      </c>
      <c r="C161" t="s">
        <v>30</v>
      </c>
      <c r="D161">
        <v>2050</v>
      </c>
      <c r="E161" t="s">
        <v>120</v>
      </c>
      <c r="F161" t="s">
        <v>108</v>
      </c>
      <c r="G161" t="s">
        <v>30</v>
      </c>
      <c r="H161">
        <v>0</v>
      </c>
      <c r="I161">
        <v>0</v>
      </c>
      <c r="J161">
        <v>0</v>
      </c>
      <c r="K161">
        <v>0</v>
      </c>
    </row>
    <row r="162" spans="1:11" x14ac:dyDescent="0.25">
      <c r="A162" t="s">
        <v>151</v>
      </c>
      <c r="B162" t="s">
        <v>27</v>
      </c>
      <c r="C162" t="s">
        <v>54</v>
      </c>
      <c r="D162">
        <v>2050</v>
      </c>
      <c r="E162" t="s">
        <v>120</v>
      </c>
      <c r="F162" t="s">
        <v>108</v>
      </c>
      <c r="G162" t="s">
        <v>54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 t="s">
        <v>151</v>
      </c>
      <c r="B163" t="s">
        <v>27</v>
      </c>
      <c r="C163" t="s">
        <v>53</v>
      </c>
      <c r="D163">
        <v>2050</v>
      </c>
      <c r="E163" t="s">
        <v>120</v>
      </c>
      <c r="F163" t="s">
        <v>108</v>
      </c>
      <c r="G163" t="s">
        <v>53</v>
      </c>
      <c r="H163">
        <v>0</v>
      </c>
      <c r="I163">
        <v>0</v>
      </c>
      <c r="J163">
        <v>0</v>
      </c>
      <c r="K163">
        <v>0</v>
      </c>
    </row>
    <row r="164" spans="1:11" x14ac:dyDescent="0.25">
      <c r="A164" t="s">
        <v>151</v>
      </c>
      <c r="B164" t="s">
        <v>27</v>
      </c>
      <c r="C164" t="s">
        <v>40</v>
      </c>
      <c r="D164">
        <v>2050</v>
      </c>
      <c r="E164" t="s">
        <v>120</v>
      </c>
      <c r="F164" t="s">
        <v>108</v>
      </c>
      <c r="G164" t="s">
        <v>40</v>
      </c>
      <c r="H164">
        <v>0</v>
      </c>
      <c r="I164">
        <v>0</v>
      </c>
      <c r="J164">
        <v>0</v>
      </c>
      <c r="K164">
        <v>0</v>
      </c>
    </row>
    <row r="165" spans="1:11" x14ac:dyDescent="0.25">
      <c r="A165" t="s">
        <v>151</v>
      </c>
      <c r="B165" t="s">
        <v>27</v>
      </c>
      <c r="C165" t="s">
        <v>79</v>
      </c>
      <c r="D165">
        <v>2050</v>
      </c>
      <c r="E165" t="s">
        <v>120</v>
      </c>
      <c r="F165" t="s">
        <v>108</v>
      </c>
      <c r="G165" t="s">
        <v>79</v>
      </c>
      <c r="H165">
        <v>0</v>
      </c>
      <c r="I165">
        <v>0</v>
      </c>
      <c r="J165">
        <v>0</v>
      </c>
      <c r="K165">
        <v>0</v>
      </c>
    </row>
    <row r="166" spans="1:11" x14ac:dyDescent="0.25">
      <c r="A166" t="s">
        <v>151</v>
      </c>
      <c r="B166" t="s">
        <v>27</v>
      </c>
      <c r="C166" t="s">
        <v>74</v>
      </c>
      <c r="D166">
        <v>2050</v>
      </c>
      <c r="E166" t="s">
        <v>120</v>
      </c>
      <c r="F166" t="s">
        <v>108</v>
      </c>
      <c r="G166" t="s">
        <v>74</v>
      </c>
      <c r="H166">
        <v>0</v>
      </c>
      <c r="I166">
        <v>0</v>
      </c>
      <c r="J166">
        <v>0</v>
      </c>
      <c r="K166">
        <v>0</v>
      </c>
    </row>
    <row r="167" spans="1:11" x14ac:dyDescent="0.25">
      <c r="A167" t="s">
        <v>151</v>
      </c>
      <c r="B167" t="s">
        <v>27</v>
      </c>
      <c r="C167" t="s">
        <v>77</v>
      </c>
      <c r="D167">
        <v>2050</v>
      </c>
      <c r="E167" t="s">
        <v>120</v>
      </c>
      <c r="F167" t="s">
        <v>108</v>
      </c>
      <c r="G167" t="s">
        <v>77</v>
      </c>
      <c r="H167">
        <v>0</v>
      </c>
      <c r="I167">
        <v>0</v>
      </c>
      <c r="J167">
        <v>0</v>
      </c>
      <c r="K167">
        <v>0</v>
      </c>
    </row>
    <row r="168" spans="1:11" x14ac:dyDescent="0.25">
      <c r="A168" t="s">
        <v>151</v>
      </c>
      <c r="B168" t="s">
        <v>27</v>
      </c>
      <c r="C168" t="s">
        <v>64</v>
      </c>
      <c r="D168">
        <v>2050</v>
      </c>
      <c r="E168" t="s">
        <v>120</v>
      </c>
      <c r="F168" t="s">
        <v>108</v>
      </c>
      <c r="G168" t="s">
        <v>64</v>
      </c>
      <c r="H168">
        <v>0</v>
      </c>
      <c r="I168">
        <v>0</v>
      </c>
      <c r="J168">
        <v>0</v>
      </c>
      <c r="K168">
        <v>0</v>
      </c>
    </row>
    <row r="169" spans="1:11" x14ac:dyDescent="0.25">
      <c r="A169" t="s">
        <v>151</v>
      </c>
      <c r="B169" t="s">
        <v>27</v>
      </c>
      <c r="C169" t="s">
        <v>119</v>
      </c>
      <c r="D169">
        <v>2050</v>
      </c>
      <c r="E169" t="s">
        <v>120</v>
      </c>
      <c r="F169" t="s">
        <v>108</v>
      </c>
      <c r="G169" t="s">
        <v>52</v>
      </c>
      <c r="H169">
        <v>0</v>
      </c>
      <c r="I169">
        <v>0</v>
      </c>
      <c r="J169">
        <v>0</v>
      </c>
      <c r="K169">
        <v>0</v>
      </c>
    </row>
    <row r="170" spans="1:11" x14ac:dyDescent="0.25">
      <c r="A170" t="s">
        <v>151</v>
      </c>
      <c r="B170" t="s">
        <v>27</v>
      </c>
      <c r="C170" t="s">
        <v>28</v>
      </c>
      <c r="D170">
        <v>2019</v>
      </c>
      <c r="E170" t="s">
        <v>118</v>
      </c>
      <c r="F170" t="s">
        <v>109</v>
      </c>
      <c r="G170" t="s">
        <v>51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151</v>
      </c>
      <c r="B171" t="s">
        <v>27</v>
      </c>
      <c r="C171" t="s">
        <v>33</v>
      </c>
      <c r="D171">
        <v>2019</v>
      </c>
      <c r="E171" t="s">
        <v>118</v>
      </c>
      <c r="F171" t="s">
        <v>109</v>
      </c>
      <c r="G171" t="s">
        <v>51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151</v>
      </c>
      <c r="B172" t="s">
        <v>27</v>
      </c>
      <c r="C172" t="s">
        <v>71</v>
      </c>
      <c r="D172">
        <v>2019</v>
      </c>
      <c r="E172" t="s">
        <v>118</v>
      </c>
      <c r="F172" t="s">
        <v>109</v>
      </c>
      <c r="G172" t="s">
        <v>51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151</v>
      </c>
      <c r="B173" t="s">
        <v>27</v>
      </c>
      <c r="C173" t="s">
        <v>52</v>
      </c>
      <c r="D173">
        <v>2019</v>
      </c>
      <c r="E173" t="s">
        <v>118</v>
      </c>
      <c r="F173" t="s">
        <v>109</v>
      </c>
      <c r="G173" t="s">
        <v>52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151</v>
      </c>
      <c r="B174" t="s">
        <v>27</v>
      </c>
      <c r="C174" t="s">
        <v>29</v>
      </c>
      <c r="D174">
        <v>2019</v>
      </c>
      <c r="E174" t="s">
        <v>118</v>
      </c>
      <c r="F174" t="s">
        <v>109</v>
      </c>
      <c r="G174" t="s">
        <v>29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151</v>
      </c>
      <c r="B175" t="s">
        <v>27</v>
      </c>
      <c r="C175" t="s">
        <v>30</v>
      </c>
      <c r="D175">
        <v>2019</v>
      </c>
      <c r="E175" t="s">
        <v>118</v>
      </c>
      <c r="F175" t="s">
        <v>109</v>
      </c>
      <c r="G175" t="s">
        <v>30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151</v>
      </c>
      <c r="B176" t="s">
        <v>27</v>
      </c>
      <c r="C176" t="s">
        <v>54</v>
      </c>
      <c r="D176">
        <v>2019</v>
      </c>
      <c r="E176" t="s">
        <v>118</v>
      </c>
      <c r="F176" t="s">
        <v>109</v>
      </c>
      <c r="G176" t="s">
        <v>54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151</v>
      </c>
      <c r="B177" t="s">
        <v>27</v>
      </c>
      <c r="C177" t="s">
        <v>53</v>
      </c>
      <c r="D177">
        <v>2019</v>
      </c>
      <c r="E177" t="s">
        <v>118</v>
      </c>
      <c r="F177" t="s">
        <v>109</v>
      </c>
      <c r="G177" t="s">
        <v>53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151</v>
      </c>
      <c r="B178" t="s">
        <v>27</v>
      </c>
      <c r="C178" t="s">
        <v>40</v>
      </c>
      <c r="D178">
        <v>2019</v>
      </c>
      <c r="E178" t="s">
        <v>118</v>
      </c>
      <c r="F178" t="s">
        <v>109</v>
      </c>
      <c r="G178" t="s">
        <v>40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151</v>
      </c>
      <c r="B179" t="s">
        <v>27</v>
      </c>
      <c r="C179" t="s">
        <v>79</v>
      </c>
      <c r="D179">
        <v>2019</v>
      </c>
      <c r="E179" t="s">
        <v>118</v>
      </c>
      <c r="F179" t="s">
        <v>109</v>
      </c>
      <c r="G179" t="s">
        <v>79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151</v>
      </c>
      <c r="B180" t="s">
        <v>27</v>
      </c>
      <c r="C180" t="s">
        <v>74</v>
      </c>
      <c r="D180">
        <v>2019</v>
      </c>
      <c r="E180" t="s">
        <v>118</v>
      </c>
      <c r="F180" t="s">
        <v>109</v>
      </c>
      <c r="G180" t="s">
        <v>51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151</v>
      </c>
      <c r="B181" t="s">
        <v>27</v>
      </c>
      <c r="C181" t="s">
        <v>77</v>
      </c>
      <c r="D181">
        <v>2019</v>
      </c>
      <c r="E181" t="s">
        <v>118</v>
      </c>
      <c r="F181" t="s">
        <v>109</v>
      </c>
      <c r="G181" t="s">
        <v>77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151</v>
      </c>
      <c r="B182" t="s">
        <v>27</v>
      </c>
      <c r="C182" t="s">
        <v>64</v>
      </c>
      <c r="D182">
        <v>2019</v>
      </c>
      <c r="E182" t="s">
        <v>118</v>
      </c>
      <c r="F182" t="s">
        <v>109</v>
      </c>
      <c r="G182" t="s">
        <v>64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151</v>
      </c>
      <c r="B183" t="s">
        <v>27</v>
      </c>
      <c r="C183" t="s">
        <v>119</v>
      </c>
      <c r="D183">
        <v>2019</v>
      </c>
      <c r="E183" t="s">
        <v>118</v>
      </c>
      <c r="F183" t="s">
        <v>109</v>
      </c>
      <c r="G183" t="s">
        <v>52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151</v>
      </c>
      <c r="B184" t="s">
        <v>27</v>
      </c>
      <c r="C184" t="s">
        <v>28</v>
      </c>
      <c r="D184">
        <v>2030</v>
      </c>
      <c r="E184" t="s">
        <v>118</v>
      </c>
      <c r="F184" t="s">
        <v>109</v>
      </c>
      <c r="G184" t="s">
        <v>28</v>
      </c>
      <c r="H184">
        <v>0</v>
      </c>
      <c r="I184">
        <v>0</v>
      </c>
      <c r="J184">
        <v>0</v>
      </c>
      <c r="K184">
        <v>0</v>
      </c>
    </row>
    <row r="185" spans="1:11" x14ac:dyDescent="0.25">
      <c r="A185" t="s">
        <v>151</v>
      </c>
      <c r="B185" t="s">
        <v>27</v>
      </c>
      <c r="C185" t="s">
        <v>33</v>
      </c>
      <c r="D185">
        <v>2030</v>
      </c>
      <c r="E185" t="s">
        <v>118</v>
      </c>
      <c r="F185" t="s">
        <v>109</v>
      </c>
      <c r="G185" t="s">
        <v>33</v>
      </c>
      <c r="H185">
        <v>0</v>
      </c>
      <c r="I185">
        <v>0</v>
      </c>
      <c r="J185">
        <v>0</v>
      </c>
      <c r="K185">
        <v>0</v>
      </c>
    </row>
    <row r="186" spans="1:11" x14ac:dyDescent="0.25">
      <c r="A186" t="s">
        <v>151</v>
      </c>
      <c r="B186" t="s">
        <v>27</v>
      </c>
      <c r="C186" t="s">
        <v>71</v>
      </c>
      <c r="D186">
        <v>2030</v>
      </c>
      <c r="E186" t="s">
        <v>118</v>
      </c>
      <c r="F186" t="s">
        <v>109</v>
      </c>
      <c r="G186" t="s">
        <v>71</v>
      </c>
      <c r="H186">
        <v>0</v>
      </c>
      <c r="I186">
        <v>0</v>
      </c>
      <c r="J186">
        <v>0</v>
      </c>
      <c r="K186">
        <v>0</v>
      </c>
    </row>
    <row r="187" spans="1:11" x14ac:dyDescent="0.25">
      <c r="A187" t="s">
        <v>151</v>
      </c>
      <c r="B187" t="s">
        <v>27</v>
      </c>
      <c r="C187" t="s">
        <v>52</v>
      </c>
      <c r="D187">
        <v>2030</v>
      </c>
      <c r="E187" t="s">
        <v>118</v>
      </c>
      <c r="F187" t="s">
        <v>109</v>
      </c>
      <c r="G187" t="s">
        <v>52</v>
      </c>
      <c r="H187">
        <v>0</v>
      </c>
      <c r="I187">
        <v>0</v>
      </c>
      <c r="J187">
        <v>0</v>
      </c>
      <c r="K187">
        <v>0</v>
      </c>
    </row>
    <row r="188" spans="1:11" x14ac:dyDescent="0.25">
      <c r="A188" t="s">
        <v>151</v>
      </c>
      <c r="B188" t="s">
        <v>27</v>
      </c>
      <c r="C188" t="s">
        <v>29</v>
      </c>
      <c r="D188">
        <v>2030</v>
      </c>
      <c r="E188" t="s">
        <v>118</v>
      </c>
      <c r="F188" t="s">
        <v>109</v>
      </c>
      <c r="G188" t="s">
        <v>29</v>
      </c>
      <c r="H188">
        <v>0</v>
      </c>
      <c r="I188">
        <v>0</v>
      </c>
      <c r="J188">
        <v>0</v>
      </c>
      <c r="K188">
        <v>0</v>
      </c>
    </row>
    <row r="189" spans="1:11" x14ac:dyDescent="0.25">
      <c r="A189" t="s">
        <v>151</v>
      </c>
      <c r="B189" t="s">
        <v>27</v>
      </c>
      <c r="C189" t="s">
        <v>30</v>
      </c>
      <c r="D189">
        <v>2030</v>
      </c>
      <c r="E189" t="s">
        <v>118</v>
      </c>
      <c r="F189" t="s">
        <v>109</v>
      </c>
      <c r="G189" t="s">
        <v>30</v>
      </c>
      <c r="H189">
        <v>0</v>
      </c>
      <c r="I189">
        <v>0</v>
      </c>
      <c r="J189">
        <v>0</v>
      </c>
      <c r="K189">
        <v>0</v>
      </c>
    </row>
    <row r="190" spans="1:11" x14ac:dyDescent="0.25">
      <c r="A190" t="s">
        <v>151</v>
      </c>
      <c r="B190" t="s">
        <v>27</v>
      </c>
      <c r="C190" t="s">
        <v>54</v>
      </c>
      <c r="D190">
        <v>2030</v>
      </c>
      <c r="E190" t="s">
        <v>118</v>
      </c>
      <c r="F190" t="s">
        <v>109</v>
      </c>
      <c r="G190" t="s">
        <v>54</v>
      </c>
      <c r="H190">
        <v>0</v>
      </c>
      <c r="I190">
        <v>0</v>
      </c>
      <c r="J190">
        <v>0</v>
      </c>
      <c r="K190">
        <v>0</v>
      </c>
    </row>
    <row r="191" spans="1:11" x14ac:dyDescent="0.25">
      <c r="A191" t="s">
        <v>151</v>
      </c>
      <c r="B191" t="s">
        <v>27</v>
      </c>
      <c r="C191" t="s">
        <v>53</v>
      </c>
      <c r="D191">
        <v>2030</v>
      </c>
      <c r="E191" t="s">
        <v>118</v>
      </c>
      <c r="F191" t="s">
        <v>109</v>
      </c>
      <c r="G191" t="s">
        <v>53</v>
      </c>
      <c r="H191">
        <v>0</v>
      </c>
      <c r="I191">
        <v>0</v>
      </c>
      <c r="J191">
        <v>0</v>
      </c>
      <c r="K191">
        <v>0</v>
      </c>
    </row>
    <row r="192" spans="1:11" x14ac:dyDescent="0.25">
      <c r="A192" t="s">
        <v>151</v>
      </c>
      <c r="B192" t="s">
        <v>27</v>
      </c>
      <c r="C192" t="s">
        <v>40</v>
      </c>
      <c r="D192">
        <v>2030</v>
      </c>
      <c r="E192" t="s">
        <v>118</v>
      </c>
      <c r="F192" t="s">
        <v>109</v>
      </c>
      <c r="G192" t="s">
        <v>40</v>
      </c>
      <c r="H192">
        <v>0</v>
      </c>
      <c r="I192">
        <v>0</v>
      </c>
      <c r="J192">
        <v>0</v>
      </c>
      <c r="K192">
        <v>0</v>
      </c>
    </row>
    <row r="193" spans="1:11" x14ac:dyDescent="0.25">
      <c r="A193" t="s">
        <v>151</v>
      </c>
      <c r="B193" t="s">
        <v>27</v>
      </c>
      <c r="C193" t="s">
        <v>79</v>
      </c>
      <c r="D193">
        <v>2030</v>
      </c>
      <c r="E193" t="s">
        <v>118</v>
      </c>
      <c r="F193" t="s">
        <v>109</v>
      </c>
      <c r="G193" t="s">
        <v>79</v>
      </c>
      <c r="H193">
        <v>0</v>
      </c>
      <c r="I193">
        <v>0</v>
      </c>
      <c r="J193">
        <v>0</v>
      </c>
      <c r="K193">
        <v>0</v>
      </c>
    </row>
    <row r="194" spans="1:11" x14ac:dyDescent="0.25">
      <c r="A194" t="s">
        <v>151</v>
      </c>
      <c r="B194" t="s">
        <v>27</v>
      </c>
      <c r="C194" t="s">
        <v>74</v>
      </c>
      <c r="D194">
        <v>2030</v>
      </c>
      <c r="E194" t="s">
        <v>118</v>
      </c>
      <c r="F194" t="s">
        <v>109</v>
      </c>
      <c r="G194" t="s">
        <v>74</v>
      </c>
      <c r="H194">
        <v>0</v>
      </c>
      <c r="I194">
        <v>0</v>
      </c>
      <c r="J194">
        <v>0</v>
      </c>
      <c r="K194">
        <v>0</v>
      </c>
    </row>
    <row r="195" spans="1:11" x14ac:dyDescent="0.25">
      <c r="A195" t="s">
        <v>151</v>
      </c>
      <c r="B195" t="s">
        <v>27</v>
      </c>
      <c r="C195" t="s">
        <v>77</v>
      </c>
      <c r="D195">
        <v>2030</v>
      </c>
      <c r="E195" t="s">
        <v>118</v>
      </c>
      <c r="F195" t="s">
        <v>109</v>
      </c>
      <c r="G195" t="s">
        <v>77</v>
      </c>
      <c r="H195">
        <v>0</v>
      </c>
      <c r="I195">
        <v>0</v>
      </c>
      <c r="J195">
        <v>0</v>
      </c>
      <c r="K195">
        <v>0</v>
      </c>
    </row>
    <row r="196" spans="1:11" x14ac:dyDescent="0.25">
      <c r="A196" t="s">
        <v>151</v>
      </c>
      <c r="B196" t="s">
        <v>27</v>
      </c>
      <c r="C196" t="s">
        <v>64</v>
      </c>
      <c r="D196">
        <v>2030</v>
      </c>
      <c r="E196" t="s">
        <v>118</v>
      </c>
      <c r="F196" t="s">
        <v>109</v>
      </c>
      <c r="G196" t="s">
        <v>64</v>
      </c>
      <c r="H196">
        <v>0</v>
      </c>
      <c r="I196">
        <v>0</v>
      </c>
      <c r="J196">
        <v>0</v>
      </c>
      <c r="K196">
        <v>0</v>
      </c>
    </row>
    <row r="197" spans="1:11" x14ac:dyDescent="0.25">
      <c r="A197" t="s">
        <v>151</v>
      </c>
      <c r="B197" t="s">
        <v>27</v>
      </c>
      <c r="C197" t="s">
        <v>119</v>
      </c>
      <c r="D197">
        <v>2030</v>
      </c>
      <c r="E197" t="s">
        <v>118</v>
      </c>
      <c r="F197" t="s">
        <v>109</v>
      </c>
      <c r="G197" t="s">
        <v>52</v>
      </c>
      <c r="H197">
        <v>0</v>
      </c>
      <c r="I197">
        <v>0</v>
      </c>
      <c r="J197">
        <v>0</v>
      </c>
      <c r="K197">
        <v>0</v>
      </c>
    </row>
    <row r="198" spans="1:11" x14ac:dyDescent="0.25">
      <c r="A198" t="s">
        <v>151</v>
      </c>
      <c r="B198" t="s">
        <v>27</v>
      </c>
      <c r="C198" t="s">
        <v>28</v>
      </c>
      <c r="D198">
        <v>2050</v>
      </c>
      <c r="E198" t="s">
        <v>118</v>
      </c>
      <c r="F198" t="s">
        <v>109</v>
      </c>
      <c r="G198" t="s">
        <v>28</v>
      </c>
      <c r="H198">
        <v>0</v>
      </c>
      <c r="I198">
        <v>0</v>
      </c>
      <c r="J198">
        <v>0</v>
      </c>
      <c r="K198">
        <v>0</v>
      </c>
    </row>
    <row r="199" spans="1:11" x14ac:dyDescent="0.25">
      <c r="A199" t="s">
        <v>151</v>
      </c>
      <c r="B199" t="s">
        <v>27</v>
      </c>
      <c r="C199" t="s">
        <v>33</v>
      </c>
      <c r="D199">
        <v>2050</v>
      </c>
      <c r="E199" t="s">
        <v>118</v>
      </c>
      <c r="F199" t="s">
        <v>109</v>
      </c>
      <c r="G199" t="s">
        <v>33</v>
      </c>
      <c r="H199">
        <v>0</v>
      </c>
      <c r="I199">
        <v>0</v>
      </c>
      <c r="J199">
        <v>0</v>
      </c>
      <c r="K199">
        <v>0</v>
      </c>
    </row>
    <row r="200" spans="1:11" x14ac:dyDescent="0.25">
      <c r="A200" t="s">
        <v>151</v>
      </c>
      <c r="B200" t="s">
        <v>27</v>
      </c>
      <c r="C200" t="s">
        <v>71</v>
      </c>
      <c r="D200">
        <v>2050</v>
      </c>
      <c r="E200" t="s">
        <v>118</v>
      </c>
      <c r="F200" t="s">
        <v>109</v>
      </c>
      <c r="G200" t="s">
        <v>71</v>
      </c>
      <c r="H200">
        <v>0</v>
      </c>
      <c r="I200">
        <v>0</v>
      </c>
      <c r="J200">
        <v>0</v>
      </c>
      <c r="K200">
        <v>0</v>
      </c>
    </row>
    <row r="201" spans="1:11" x14ac:dyDescent="0.25">
      <c r="A201" t="s">
        <v>151</v>
      </c>
      <c r="B201" t="s">
        <v>27</v>
      </c>
      <c r="C201" t="s">
        <v>52</v>
      </c>
      <c r="D201">
        <v>2050</v>
      </c>
      <c r="E201" t="s">
        <v>118</v>
      </c>
      <c r="F201" t="s">
        <v>109</v>
      </c>
      <c r="G201" t="s">
        <v>52</v>
      </c>
      <c r="H201">
        <v>0</v>
      </c>
      <c r="I201">
        <v>0</v>
      </c>
      <c r="J201">
        <v>0</v>
      </c>
      <c r="K201">
        <v>0</v>
      </c>
    </row>
    <row r="202" spans="1:11" x14ac:dyDescent="0.25">
      <c r="A202" t="s">
        <v>151</v>
      </c>
      <c r="B202" t="s">
        <v>27</v>
      </c>
      <c r="C202" t="s">
        <v>29</v>
      </c>
      <c r="D202">
        <v>2050</v>
      </c>
      <c r="E202" t="s">
        <v>118</v>
      </c>
      <c r="F202" t="s">
        <v>109</v>
      </c>
      <c r="G202" t="s">
        <v>29</v>
      </c>
      <c r="H202">
        <v>0</v>
      </c>
      <c r="I202">
        <v>0</v>
      </c>
      <c r="J202">
        <v>0</v>
      </c>
      <c r="K202">
        <v>0</v>
      </c>
    </row>
    <row r="203" spans="1:11" x14ac:dyDescent="0.25">
      <c r="A203" t="s">
        <v>151</v>
      </c>
      <c r="B203" t="s">
        <v>27</v>
      </c>
      <c r="C203" t="s">
        <v>30</v>
      </c>
      <c r="D203">
        <v>2050</v>
      </c>
      <c r="E203" t="s">
        <v>118</v>
      </c>
      <c r="F203" t="s">
        <v>109</v>
      </c>
      <c r="G203" t="s">
        <v>30</v>
      </c>
      <c r="H203">
        <v>0</v>
      </c>
      <c r="I203">
        <v>0</v>
      </c>
      <c r="J203">
        <v>0</v>
      </c>
      <c r="K203">
        <v>0</v>
      </c>
    </row>
    <row r="204" spans="1:11" x14ac:dyDescent="0.25">
      <c r="A204" t="s">
        <v>151</v>
      </c>
      <c r="B204" t="s">
        <v>27</v>
      </c>
      <c r="C204" t="s">
        <v>54</v>
      </c>
      <c r="D204">
        <v>2050</v>
      </c>
      <c r="E204" t="s">
        <v>118</v>
      </c>
      <c r="F204" t="s">
        <v>109</v>
      </c>
      <c r="G204" t="s">
        <v>54</v>
      </c>
      <c r="H204">
        <v>0</v>
      </c>
      <c r="I204">
        <v>0</v>
      </c>
      <c r="J204">
        <v>0</v>
      </c>
      <c r="K204">
        <v>0</v>
      </c>
    </row>
    <row r="205" spans="1:11" x14ac:dyDescent="0.25">
      <c r="A205" t="s">
        <v>151</v>
      </c>
      <c r="B205" t="s">
        <v>27</v>
      </c>
      <c r="C205" t="s">
        <v>53</v>
      </c>
      <c r="D205">
        <v>2050</v>
      </c>
      <c r="E205" t="s">
        <v>118</v>
      </c>
      <c r="F205" t="s">
        <v>109</v>
      </c>
      <c r="G205" t="s">
        <v>53</v>
      </c>
      <c r="H205">
        <v>0</v>
      </c>
      <c r="I205">
        <v>0</v>
      </c>
      <c r="J205">
        <v>0</v>
      </c>
      <c r="K205">
        <v>0</v>
      </c>
    </row>
    <row r="206" spans="1:11" x14ac:dyDescent="0.25">
      <c r="A206" t="s">
        <v>151</v>
      </c>
      <c r="B206" t="s">
        <v>27</v>
      </c>
      <c r="C206" t="s">
        <v>40</v>
      </c>
      <c r="D206">
        <v>2050</v>
      </c>
      <c r="E206" t="s">
        <v>118</v>
      </c>
      <c r="F206" t="s">
        <v>109</v>
      </c>
      <c r="G206" t="s">
        <v>40</v>
      </c>
      <c r="H206">
        <v>0</v>
      </c>
      <c r="I206">
        <v>0</v>
      </c>
      <c r="J206">
        <v>0</v>
      </c>
      <c r="K206">
        <v>0</v>
      </c>
    </row>
    <row r="207" spans="1:11" x14ac:dyDescent="0.25">
      <c r="A207" t="s">
        <v>151</v>
      </c>
      <c r="B207" t="s">
        <v>27</v>
      </c>
      <c r="C207" t="s">
        <v>79</v>
      </c>
      <c r="D207">
        <v>2050</v>
      </c>
      <c r="E207" t="s">
        <v>118</v>
      </c>
      <c r="F207" t="s">
        <v>109</v>
      </c>
      <c r="G207" t="s">
        <v>79</v>
      </c>
      <c r="H207">
        <v>0</v>
      </c>
      <c r="I207">
        <v>0</v>
      </c>
      <c r="J207">
        <v>0</v>
      </c>
      <c r="K207">
        <v>0</v>
      </c>
    </row>
    <row r="208" spans="1:11" x14ac:dyDescent="0.25">
      <c r="A208" t="s">
        <v>151</v>
      </c>
      <c r="B208" t="s">
        <v>27</v>
      </c>
      <c r="C208" t="s">
        <v>74</v>
      </c>
      <c r="D208">
        <v>2050</v>
      </c>
      <c r="E208" t="s">
        <v>118</v>
      </c>
      <c r="F208" t="s">
        <v>109</v>
      </c>
      <c r="G208" t="s">
        <v>74</v>
      </c>
      <c r="H208">
        <v>0</v>
      </c>
      <c r="I208">
        <v>0</v>
      </c>
      <c r="J208">
        <v>0</v>
      </c>
      <c r="K208">
        <v>0</v>
      </c>
    </row>
    <row r="209" spans="1:11" x14ac:dyDescent="0.25">
      <c r="A209" t="s">
        <v>151</v>
      </c>
      <c r="B209" t="s">
        <v>27</v>
      </c>
      <c r="C209" t="s">
        <v>77</v>
      </c>
      <c r="D209">
        <v>2050</v>
      </c>
      <c r="E209" t="s">
        <v>118</v>
      </c>
      <c r="F209" t="s">
        <v>109</v>
      </c>
      <c r="G209" t="s">
        <v>77</v>
      </c>
      <c r="H209">
        <v>0</v>
      </c>
      <c r="I209">
        <v>0</v>
      </c>
      <c r="J209">
        <v>0</v>
      </c>
      <c r="K209">
        <v>0</v>
      </c>
    </row>
    <row r="210" spans="1:11" x14ac:dyDescent="0.25">
      <c r="A210" t="s">
        <v>151</v>
      </c>
      <c r="B210" t="s">
        <v>27</v>
      </c>
      <c r="C210" t="s">
        <v>64</v>
      </c>
      <c r="D210">
        <v>2050</v>
      </c>
      <c r="E210" t="s">
        <v>118</v>
      </c>
      <c r="F210" t="s">
        <v>109</v>
      </c>
      <c r="G210" t="s">
        <v>64</v>
      </c>
      <c r="H210">
        <v>0</v>
      </c>
      <c r="I210">
        <v>0</v>
      </c>
      <c r="J210">
        <v>0</v>
      </c>
      <c r="K210">
        <v>0</v>
      </c>
    </row>
    <row r="211" spans="1:11" x14ac:dyDescent="0.25">
      <c r="A211" t="s">
        <v>151</v>
      </c>
      <c r="B211" t="s">
        <v>27</v>
      </c>
      <c r="C211" t="s">
        <v>119</v>
      </c>
      <c r="D211">
        <v>2050</v>
      </c>
      <c r="E211" t="s">
        <v>118</v>
      </c>
      <c r="F211" t="s">
        <v>109</v>
      </c>
      <c r="G211" t="s">
        <v>52</v>
      </c>
      <c r="H211">
        <v>0</v>
      </c>
      <c r="I211">
        <v>0</v>
      </c>
      <c r="J211">
        <v>0</v>
      </c>
      <c r="K211">
        <v>0</v>
      </c>
    </row>
    <row r="212" spans="1:11" x14ac:dyDescent="0.25">
      <c r="A212" t="s">
        <v>151</v>
      </c>
      <c r="B212" t="s">
        <v>27</v>
      </c>
      <c r="C212" t="s">
        <v>28</v>
      </c>
      <c r="D212">
        <v>2019</v>
      </c>
      <c r="E212" t="s">
        <v>120</v>
      </c>
      <c r="F212" t="s">
        <v>109</v>
      </c>
      <c r="G212" t="s">
        <v>51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151</v>
      </c>
      <c r="B213" t="s">
        <v>27</v>
      </c>
      <c r="C213" t="s">
        <v>33</v>
      </c>
      <c r="D213">
        <v>2019</v>
      </c>
      <c r="E213" t="s">
        <v>120</v>
      </c>
      <c r="F213" t="s">
        <v>109</v>
      </c>
      <c r="G213" t="s">
        <v>51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151</v>
      </c>
      <c r="B214" t="s">
        <v>27</v>
      </c>
      <c r="C214" t="s">
        <v>71</v>
      </c>
      <c r="D214">
        <v>2019</v>
      </c>
      <c r="E214" t="s">
        <v>120</v>
      </c>
      <c r="F214" t="s">
        <v>109</v>
      </c>
      <c r="G214" t="s">
        <v>51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151</v>
      </c>
      <c r="B215" t="s">
        <v>27</v>
      </c>
      <c r="C215" t="s">
        <v>52</v>
      </c>
      <c r="D215">
        <v>2019</v>
      </c>
      <c r="E215" t="s">
        <v>120</v>
      </c>
      <c r="F215" t="s">
        <v>109</v>
      </c>
      <c r="G215" t="s">
        <v>52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151</v>
      </c>
      <c r="B216" t="s">
        <v>27</v>
      </c>
      <c r="C216" t="s">
        <v>29</v>
      </c>
      <c r="D216">
        <v>2019</v>
      </c>
      <c r="E216" t="s">
        <v>120</v>
      </c>
      <c r="F216" t="s">
        <v>109</v>
      </c>
      <c r="G216" t="s">
        <v>29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151</v>
      </c>
      <c r="B217" t="s">
        <v>27</v>
      </c>
      <c r="C217" t="s">
        <v>30</v>
      </c>
      <c r="D217">
        <v>2019</v>
      </c>
      <c r="E217" t="s">
        <v>120</v>
      </c>
      <c r="F217" t="s">
        <v>109</v>
      </c>
      <c r="G217" t="s">
        <v>30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151</v>
      </c>
      <c r="B218" t="s">
        <v>27</v>
      </c>
      <c r="C218" t="s">
        <v>54</v>
      </c>
      <c r="D218">
        <v>2019</v>
      </c>
      <c r="E218" t="s">
        <v>120</v>
      </c>
      <c r="F218" t="s">
        <v>109</v>
      </c>
      <c r="G218" t="s">
        <v>54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151</v>
      </c>
      <c r="B219" t="s">
        <v>27</v>
      </c>
      <c r="C219" t="s">
        <v>53</v>
      </c>
      <c r="D219">
        <v>2019</v>
      </c>
      <c r="E219" t="s">
        <v>120</v>
      </c>
      <c r="F219" t="s">
        <v>109</v>
      </c>
      <c r="G219" t="s">
        <v>53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151</v>
      </c>
      <c r="B220" t="s">
        <v>27</v>
      </c>
      <c r="C220" t="s">
        <v>40</v>
      </c>
      <c r="D220">
        <v>2019</v>
      </c>
      <c r="E220" t="s">
        <v>120</v>
      </c>
      <c r="F220" t="s">
        <v>109</v>
      </c>
      <c r="G220" t="s">
        <v>40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151</v>
      </c>
      <c r="B221" t="s">
        <v>27</v>
      </c>
      <c r="C221" t="s">
        <v>79</v>
      </c>
      <c r="D221">
        <v>2019</v>
      </c>
      <c r="E221" t="s">
        <v>120</v>
      </c>
      <c r="F221" t="s">
        <v>109</v>
      </c>
      <c r="G221" t="s">
        <v>79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151</v>
      </c>
      <c r="B222" t="s">
        <v>27</v>
      </c>
      <c r="C222" t="s">
        <v>74</v>
      </c>
      <c r="D222">
        <v>2019</v>
      </c>
      <c r="E222" t="s">
        <v>120</v>
      </c>
      <c r="F222" t="s">
        <v>109</v>
      </c>
      <c r="G222" t="s">
        <v>51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151</v>
      </c>
      <c r="B223" t="s">
        <v>27</v>
      </c>
      <c r="C223" t="s">
        <v>77</v>
      </c>
      <c r="D223">
        <v>2019</v>
      </c>
      <c r="E223" t="s">
        <v>120</v>
      </c>
      <c r="F223" t="s">
        <v>109</v>
      </c>
      <c r="G223" t="s">
        <v>77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151</v>
      </c>
      <c r="B224" t="s">
        <v>27</v>
      </c>
      <c r="C224" t="s">
        <v>64</v>
      </c>
      <c r="D224">
        <v>2019</v>
      </c>
      <c r="E224" t="s">
        <v>120</v>
      </c>
      <c r="F224" t="s">
        <v>109</v>
      </c>
      <c r="G224" t="s">
        <v>64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151</v>
      </c>
      <c r="B225" t="s">
        <v>27</v>
      </c>
      <c r="C225" t="s">
        <v>119</v>
      </c>
      <c r="D225">
        <v>2019</v>
      </c>
      <c r="E225" t="s">
        <v>120</v>
      </c>
      <c r="F225" t="s">
        <v>109</v>
      </c>
      <c r="G225" t="s">
        <v>52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151</v>
      </c>
      <c r="B226" t="s">
        <v>27</v>
      </c>
      <c r="C226" t="s">
        <v>28</v>
      </c>
      <c r="D226">
        <v>2030</v>
      </c>
      <c r="E226" t="s">
        <v>120</v>
      </c>
      <c r="F226" t="s">
        <v>109</v>
      </c>
      <c r="G226" t="s">
        <v>28</v>
      </c>
      <c r="H226">
        <v>0</v>
      </c>
      <c r="I226">
        <v>0</v>
      </c>
      <c r="J226">
        <v>0</v>
      </c>
      <c r="K226">
        <v>0</v>
      </c>
    </row>
    <row r="227" spans="1:11" x14ac:dyDescent="0.25">
      <c r="A227" t="s">
        <v>151</v>
      </c>
      <c r="B227" t="s">
        <v>27</v>
      </c>
      <c r="C227" t="s">
        <v>33</v>
      </c>
      <c r="D227">
        <v>2030</v>
      </c>
      <c r="E227" t="s">
        <v>120</v>
      </c>
      <c r="F227" t="s">
        <v>109</v>
      </c>
      <c r="G227" t="s">
        <v>33</v>
      </c>
      <c r="H227">
        <v>0</v>
      </c>
      <c r="I227">
        <v>0</v>
      </c>
      <c r="J227">
        <v>0</v>
      </c>
      <c r="K227">
        <v>0</v>
      </c>
    </row>
    <row r="228" spans="1:11" x14ac:dyDescent="0.25">
      <c r="A228" t="s">
        <v>151</v>
      </c>
      <c r="B228" t="s">
        <v>27</v>
      </c>
      <c r="C228" t="s">
        <v>71</v>
      </c>
      <c r="D228">
        <v>2030</v>
      </c>
      <c r="E228" t="s">
        <v>120</v>
      </c>
      <c r="F228" t="s">
        <v>109</v>
      </c>
      <c r="G228" t="s">
        <v>71</v>
      </c>
      <c r="H228">
        <v>0</v>
      </c>
      <c r="I228">
        <v>0</v>
      </c>
      <c r="J228">
        <v>0</v>
      </c>
      <c r="K228">
        <v>0</v>
      </c>
    </row>
    <row r="229" spans="1:11" x14ac:dyDescent="0.25">
      <c r="A229" t="s">
        <v>151</v>
      </c>
      <c r="B229" t="s">
        <v>27</v>
      </c>
      <c r="C229" t="s">
        <v>52</v>
      </c>
      <c r="D229">
        <v>2030</v>
      </c>
      <c r="E229" t="s">
        <v>120</v>
      </c>
      <c r="F229" t="s">
        <v>109</v>
      </c>
      <c r="G229" t="s">
        <v>52</v>
      </c>
      <c r="H229">
        <v>0</v>
      </c>
      <c r="I229">
        <v>0</v>
      </c>
      <c r="J229">
        <v>0</v>
      </c>
      <c r="K229">
        <v>0</v>
      </c>
    </row>
    <row r="230" spans="1:11" x14ac:dyDescent="0.25">
      <c r="A230" t="s">
        <v>151</v>
      </c>
      <c r="B230" t="s">
        <v>27</v>
      </c>
      <c r="C230" t="s">
        <v>29</v>
      </c>
      <c r="D230">
        <v>2030</v>
      </c>
      <c r="E230" t="s">
        <v>120</v>
      </c>
      <c r="F230" t="s">
        <v>109</v>
      </c>
      <c r="G230" t="s">
        <v>29</v>
      </c>
      <c r="H230">
        <v>0</v>
      </c>
      <c r="I230">
        <v>0</v>
      </c>
      <c r="J230">
        <v>0</v>
      </c>
      <c r="K230">
        <v>0</v>
      </c>
    </row>
    <row r="231" spans="1:11" x14ac:dyDescent="0.25">
      <c r="A231" t="s">
        <v>151</v>
      </c>
      <c r="B231" t="s">
        <v>27</v>
      </c>
      <c r="C231" t="s">
        <v>30</v>
      </c>
      <c r="D231">
        <v>2030</v>
      </c>
      <c r="E231" t="s">
        <v>120</v>
      </c>
      <c r="F231" t="s">
        <v>109</v>
      </c>
      <c r="G231" t="s">
        <v>30</v>
      </c>
      <c r="H231">
        <v>0</v>
      </c>
      <c r="I231">
        <v>0</v>
      </c>
      <c r="J231">
        <v>0</v>
      </c>
      <c r="K231">
        <v>0</v>
      </c>
    </row>
    <row r="232" spans="1:11" x14ac:dyDescent="0.25">
      <c r="A232" t="s">
        <v>151</v>
      </c>
      <c r="B232" t="s">
        <v>27</v>
      </c>
      <c r="C232" t="s">
        <v>54</v>
      </c>
      <c r="D232">
        <v>2030</v>
      </c>
      <c r="E232" t="s">
        <v>120</v>
      </c>
      <c r="F232" t="s">
        <v>109</v>
      </c>
      <c r="G232" t="s">
        <v>54</v>
      </c>
      <c r="H232">
        <v>0</v>
      </c>
      <c r="I232">
        <v>0</v>
      </c>
      <c r="J232">
        <v>0</v>
      </c>
      <c r="K232">
        <v>0</v>
      </c>
    </row>
    <row r="233" spans="1:11" x14ac:dyDescent="0.25">
      <c r="A233" t="s">
        <v>151</v>
      </c>
      <c r="B233" t="s">
        <v>27</v>
      </c>
      <c r="C233" t="s">
        <v>53</v>
      </c>
      <c r="D233">
        <v>2030</v>
      </c>
      <c r="E233" t="s">
        <v>120</v>
      </c>
      <c r="F233" t="s">
        <v>109</v>
      </c>
      <c r="G233" t="s">
        <v>53</v>
      </c>
      <c r="H233">
        <v>0</v>
      </c>
      <c r="I233">
        <v>0</v>
      </c>
      <c r="J233">
        <v>0</v>
      </c>
      <c r="K233">
        <v>0</v>
      </c>
    </row>
    <row r="234" spans="1:11" x14ac:dyDescent="0.25">
      <c r="A234" t="s">
        <v>151</v>
      </c>
      <c r="B234" t="s">
        <v>27</v>
      </c>
      <c r="C234" t="s">
        <v>40</v>
      </c>
      <c r="D234">
        <v>2030</v>
      </c>
      <c r="E234" t="s">
        <v>120</v>
      </c>
      <c r="F234" t="s">
        <v>109</v>
      </c>
      <c r="G234" t="s">
        <v>40</v>
      </c>
      <c r="H234">
        <v>0</v>
      </c>
      <c r="I234">
        <v>0</v>
      </c>
      <c r="J234">
        <v>0</v>
      </c>
      <c r="K234">
        <v>0</v>
      </c>
    </row>
    <row r="235" spans="1:11" x14ac:dyDescent="0.25">
      <c r="A235" t="s">
        <v>151</v>
      </c>
      <c r="B235" t="s">
        <v>27</v>
      </c>
      <c r="C235" t="s">
        <v>79</v>
      </c>
      <c r="D235">
        <v>2030</v>
      </c>
      <c r="E235" t="s">
        <v>120</v>
      </c>
      <c r="F235" t="s">
        <v>109</v>
      </c>
      <c r="G235" t="s">
        <v>79</v>
      </c>
      <c r="H235">
        <v>0</v>
      </c>
      <c r="I235">
        <v>0</v>
      </c>
      <c r="J235">
        <v>0</v>
      </c>
      <c r="K235">
        <v>0</v>
      </c>
    </row>
    <row r="236" spans="1:11" x14ac:dyDescent="0.25">
      <c r="A236" t="s">
        <v>151</v>
      </c>
      <c r="B236" t="s">
        <v>27</v>
      </c>
      <c r="C236" t="s">
        <v>74</v>
      </c>
      <c r="D236">
        <v>2030</v>
      </c>
      <c r="E236" t="s">
        <v>120</v>
      </c>
      <c r="F236" t="s">
        <v>109</v>
      </c>
      <c r="G236" t="s">
        <v>74</v>
      </c>
      <c r="H236">
        <v>0</v>
      </c>
      <c r="I236">
        <v>0</v>
      </c>
      <c r="J236">
        <v>0</v>
      </c>
      <c r="K236">
        <v>0</v>
      </c>
    </row>
    <row r="237" spans="1:11" x14ac:dyDescent="0.25">
      <c r="A237" t="s">
        <v>151</v>
      </c>
      <c r="B237" t="s">
        <v>27</v>
      </c>
      <c r="C237" t="s">
        <v>77</v>
      </c>
      <c r="D237">
        <v>2030</v>
      </c>
      <c r="E237" t="s">
        <v>120</v>
      </c>
      <c r="F237" t="s">
        <v>109</v>
      </c>
      <c r="G237" t="s">
        <v>77</v>
      </c>
      <c r="H237">
        <v>0</v>
      </c>
      <c r="I237">
        <v>0</v>
      </c>
      <c r="J237">
        <v>0</v>
      </c>
      <c r="K237">
        <v>0</v>
      </c>
    </row>
    <row r="238" spans="1:11" x14ac:dyDescent="0.25">
      <c r="A238" t="s">
        <v>151</v>
      </c>
      <c r="B238" t="s">
        <v>27</v>
      </c>
      <c r="C238" t="s">
        <v>64</v>
      </c>
      <c r="D238">
        <v>2030</v>
      </c>
      <c r="E238" t="s">
        <v>120</v>
      </c>
      <c r="F238" t="s">
        <v>109</v>
      </c>
      <c r="G238" t="s">
        <v>64</v>
      </c>
      <c r="H238">
        <v>0</v>
      </c>
      <c r="I238">
        <v>0</v>
      </c>
      <c r="J238">
        <v>0</v>
      </c>
      <c r="K238">
        <v>0</v>
      </c>
    </row>
    <row r="239" spans="1:11" x14ac:dyDescent="0.25">
      <c r="A239" t="s">
        <v>151</v>
      </c>
      <c r="B239" t="s">
        <v>27</v>
      </c>
      <c r="C239" t="s">
        <v>119</v>
      </c>
      <c r="D239">
        <v>2030</v>
      </c>
      <c r="E239" t="s">
        <v>120</v>
      </c>
      <c r="F239" t="s">
        <v>109</v>
      </c>
      <c r="G239" t="s">
        <v>52</v>
      </c>
      <c r="H239">
        <v>0</v>
      </c>
      <c r="I239">
        <v>0</v>
      </c>
      <c r="J239">
        <v>0</v>
      </c>
      <c r="K239">
        <v>0</v>
      </c>
    </row>
    <row r="240" spans="1:11" x14ac:dyDescent="0.25">
      <c r="A240" t="s">
        <v>151</v>
      </c>
      <c r="B240" t="s">
        <v>27</v>
      </c>
      <c r="C240" t="s">
        <v>28</v>
      </c>
      <c r="D240">
        <v>2050</v>
      </c>
      <c r="E240" t="s">
        <v>120</v>
      </c>
      <c r="F240" t="s">
        <v>109</v>
      </c>
      <c r="G240" t="s">
        <v>28</v>
      </c>
      <c r="H240">
        <v>0</v>
      </c>
      <c r="I240">
        <v>0</v>
      </c>
      <c r="J240">
        <v>0</v>
      </c>
      <c r="K240">
        <v>0</v>
      </c>
    </row>
    <row r="241" spans="1:11" x14ac:dyDescent="0.25">
      <c r="A241" t="s">
        <v>151</v>
      </c>
      <c r="B241" t="s">
        <v>27</v>
      </c>
      <c r="C241" t="s">
        <v>33</v>
      </c>
      <c r="D241">
        <v>2050</v>
      </c>
      <c r="E241" t="s">
        <v>120</v>
      </c>
      <c r="F241" t="s">
        <v>109</v>
      </c>
      <c r="G241" t="s">
        <v>33</v>
      </c>
      <c r="H241">
        <v>0</v>
      </c>
      <c r="I241">
        <v>0</v>
      </c>
      <c r="J241">
        <v>0</v>
      </c>
      <c r="K241">
        <v>0</v>
      </c>
    </row>
    <row r="242" spans="1:11" x14ac:dyDescent="0.25">
      <c r="A242" t="s">
        <v>151</v>
      </c>
      <c r="B242" t="s">
        <v>27</v>
      </c>
      <c r="C242" t="s">
        <v>71</v>
      </c>
      <c r="D242">
        <v>2050</v>
      </c>
      <c r="E242" t="s">
        <v>120</v>
      </c>
      <c r="F242" t="s">
        <v>109</v>
      </c>
      <c r="G242" t="s">
        <v>71</v>
      </c>
      <c r="H242">
        <v>0</v>
      </c>
      <c r="I242">
        <v>0</v>
      </c>
      <c r="J242">
        <v>0</v>
      </c>
      <c r="K242">
        <v>0</v>
      </c>
    </row>
    <row r="243" spans="1:11" x14ac:dyDescent="0.25">
      <c r="A243" t="s">
        <v>151</v>
      </c>
      <c r="B243" t="s">
        <v>27</v>
      </c>
      <c r="C243" t="s">
        <v>52</v>
      </c>
      <c r="D243">
        <v>2050</v>
      </c>
      <c r="E243" t="s">
        <v>120</v>
      </c>
      <c r="F243" t="s">
        <v>109</v>
      </c>
      <c r="G243" t="s">
        <v>52</v>
      </c>
      <c r="H243">
        <v>0</v>
      </c>
      <c r="I243">
        <v>0</v>
      </c>
      <c r="J243">
        <v>0</v>
      </c>
      <c r="K243">
        <v>0</v>
      </c>
    </row>
    <row r="244" spans="1:11" x14ac:dyDescent="0.25">
      <c r="A244" t="s">
        <v>151</v>
      </c>
      <c r="B244" t="s">
        <v>27</v>
      </c>
      <c r="C244" t="s">
        <v>29</v>
      </c>
      <c r="D244">
        <v>2050</v>
      </c>
      <c r="E244" t="s">
        <v>120</v>
      </c>
      <c r="F244" t="s">
        <v>109</v>
      </c>
      <c r="G244" t="s">
        <v>29</v>
      </c>
      <c r="H244">
        <v>0</v>
      </c>
      <c r="I244">
        <v>0</v>
      </c>
      <c r="J244">
        <v>0</v>
      </c>
      <c r="K244">
        <v>0</v>
      </c>
    </row>
    <row r="245" spans="1:11" x14ac:dyDescent="0.25">
      <c r="A245" t="s">
        <v>151</v>
      </c>
      <c r="B245" t="s">
        <v>27</v>
      </c>
      <c r="C245" t="s">
        <v>30</v>
      </c>
      <c r="D245">
        <v>2050</v>
      </c>
      <c r="E245" t="s">
        <v>120</v>
      </c>
      <c r="F245" t="s">
        <v>109</v>
      </c>
      <c r="G245" t="s">
        <v>30</v>
      </c>
      <c r="H245">
        <v>0</v>
      </c>
      <c r="I245">
        <v>0</v>
      </c>
      <c r="J245">
        <v>0</v>
      </c>
      <c r="K245">
        <v>0</v>
      </c>
    </row>
    <row r="246" spans="1:11" x14ac:dyDescent="0.25">
      <c r="A246" t="s">
        <v>151</v>
      </c>
      <c r="B246" t="s">
        <v>27</v>
      </c>
      <c r="C246" t="s">
        <v>54</v>
      </c>
      <c r="D246">
        <v>2050</v>
      </c>
      <c r="E246" t="s">
        <v>120</v>
      </c>
      <c r="F246" t="s">
        <v>109</v>
      </c>
      <c r="G246" t="s">
        <v>54</v>
      </c>
      <c r="H246">
        <v>0</v>
      </c>
      <c r="I246">
        <v>0</v>
      </c>
      <c r="J246">
        <v>0</v>
      </c>
      <c r="K246">
        <v>0</v>
      </c>
    </row>
    <row r="247" spans="1:11" x14ac:dyDescent="0.25">
      <c r="A247" t="s">
        <v>151</v>
      </c>
      <c r="B247" t="s">
        <v>27</v>
      </c>
      <c r="C247" t="s">
        <v>53</v>
      </c>
      <c r="D247">
        <v>2050</v>
      </c>
      <c r="E247" t="s">
        <v>120</v>
      </c>
      <c r="F247" t="s">
        <v>109</v>
      </c>
      <c r="G247" t="s">
        <v>53</v>
      </c>
      <c r="H247">
        <v>0</v>
      </c>
      <c r="I247">
        <v>0</v>
      </c>
      <c r="J247">
        <v>0</v>
      </c>
      <c r="K247">
        <v>0</v>
      </c>
    </row>
    <row r="248" spans="1:11" x14ac:dyDescent="0.25">
      <c r="A248" t="s">
        <v>151</v>
      </c>
      <c r="B248" t="s">
        <v>27</v>
      </c>
      <c r="C248" t="s">
        <v>40</v>
      </c>
      <c r="D248">
        <v>2050</v>
      </c>
      <c r="E248" t="s">
        <v>120</v>
      </c>
      <c r="F248" t="s">
        <v>109</v>
      </c>
      <c r="G248" t="s">
        <v>40</v>
      </c>
      <c r="H248">
        <v>0</v>
      </c>
      <c r="I248">
        <v>0</v>
      </c>
      <c r="J248">
        <v>0</v>
      </c>
      <c r="K248">
        <v>0</v>
      </c>
    </row>
    <row r="249" spans="1:11" x14ac:dyDescent="0.25">
      <c r="A249" t="s">
        <v>151</v>
      </c>
      <c r="B249" t="s">
        <v>27</v>
      </c>
      <c r="C249" t="s">
        <v>79</v>
      </c>
      <c r="D249">
        <v>2050</v>
      </c>
      <c r="E249" t="s">
        <v>120</v>
      </c>
      <c r="F249" t="s">
        <v>109</v>
      </c>
      <c r="G249" t="s">
        <v>79</v>
      </c>
      <c r="H249">
        <v>0</v>
      </c>
      <c r="I249">
        <v>0</v>
      </c>
      <c r="J249">
        <v>0</v>
      </c>
      <c r="K249">
        <v>0</v>
      </c>
    </row>
    <row r="250" spans="1:11" x14ac:dyDescent="0.25">
      <c r="A250" t="s">
        <v>151</v>
      </c>
      <c r="B250" t="s">
        <v>27</v>
      </c>
      <c r="C250" t="s">
        <v>74</v>
      </c>
      <c r="D250">
        <v>2050</v>
      </c>
      <c r="E250" t="s">
        <v>120</v>
      </c>
      <c r="F250" t="s">
        <v>109</v>
      </c>
      <c r="G250" t="s">
        <v>74</v>
      </c>
      <c r="H250">
        <v>0</v>
      </c>
      <c r="I250">
        <v>0</v>
      </c>
      <c r="J250">
        <v>0</v>
      </c>
      <c r="K250">
        <v>0</v>
      </c>
    </row>
    <row r="251" spans="1:11" x14ac:dyDescent="0.25">
      <c r="A251" t="s">
        <v>151</v>
      </c>
      <c r="B251" t="s">
        <v>27</v>
      </c>
      <c r="C251" t="s">
        <v>77</v>
      </c>
      <c r="D251">
        <v>2050</v>
      </c>
      <c r="E251" t="s">
        <v>120</v>
      </c>
      <c r="F251" t="s">
        <v>109</v>
      </c>
      <c r="G251" t="s">
        <v>77</v>
      </c>
      <c r="H251">
        <v>0</v>
      </c>
      <c r="I251">
        <v>0</v>
      </c>
      <c r="J251">
        <v>0</v>
      </c>
      <c r="K251">
        <v>0</v>
      </c>
    </row>
    <row r="252" spans="1:11" x14ac:dyDescent="0.25">
      <c r="A252" t="s">
        <v>151</v>
      </c>
      <c r="B252" t="s">
        <v>27</v>
      </c>
      <c r="C252" t="s">
        <v>64</v>
      </c>
      <c r="D252">
        <v>2050</v>
      </c>
      <c r="E252" t="s">
        <v>120</v>
      </c>
      <c r="F252" t="s">
        <v>109</v>
      </c>
      <c r="G252" t="s">
        <v>64</v>
      </c>
      <c r="H252">
        <v>0</v>
      </c>
      <c r="I252">
        <v>0</v>
      </c>
      <c r="J252">
        <v>0</v>
      </c>
      <c r="K252">
        <v>0</v>
      </c>
    </row>
    <row r="253" spans="1:11" x14ac:dyDescent="0.25">
      <c r="A253" t="s">
        <v>151</v>
      </c>
      <c r="B253" t="s">
        <v>27</v>
      </c>
      <c r="C253" t="s">
        <v>119</v>
      </c>
      <c r="D253">
        <v>2050</v>
      </c>
      <c r="E253" t="s">
        <v>120</v>
      </c>
      <c r="F253" t="s">
        <v>109</v>
      </c>
      <c r="G253" t="s">
        <v>52</v>
      </c>
      <c r="H253">
        <v>0</v>
      </c>
      <c r="I253">
        <v>0</v>
      </c>
      <c r="J253">
        <v>0</v>
      </c>
      <c r="K253">
        <v>0</v>
      </c>
    </row>
    <row r="254" spans="1:11" x14ac:dyDescent="0.25">
      <c r="A254" t="s">
        <v>151</v>
      </c>
      <c r="B254" t="s">
        <v>42</v>
      </c>
      <c r="C254" t="s">
        <v>28</v>
      </c>
      <c r="D254">
        <v>2019</v>
      </c>
      <c r="E254" t="s">
        <v>118</v>
      </c>
      <c r="F254" t="s">
        <v>107</v>
      </c>
      <c r="G254" t="s">
        <v>51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151</v>
      </c>
      <c r="B255" t="s">
        <v>42</v>
      </c>
      <c r="C255" t="s">
        <v>33</v>
      </c>
      <c r="D255">
        <v>2019</v>
      </c>
      <c r="E255" t="s">
        <v>118</v>
      </c>
      <c r="F255" t="s">
        <v>107</v>
      </c>
      <c r="G255" t="s">
        <v>51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151</v>
      </c>
      <c r="B256" t="s">
        <v>42</v>
      </c>
      <c r="C256" t="s">
        <v>71</v>
      </c>
      <c r="D256">
        <v>2019</v>
      </c>
      <c r="E256" t="s">
        <v>118</v>
      </c>
      <c r="F256" t="s">
        <v>107</v>
      </c>
      <c r="G256" t="s">
        <v>51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151</v>
      </c>
      <c r="B257" t="s">
        <v>42</v>
      </c>
      <c r="C257" t="s">
        <v>52</v>
      </c>
      <c r="D257">
        <v>2019</v>
      </c>
      <c r="E257" t="s">
        <v>118</v>
      </c>
      <c r="F257" t="s">
        <v>107</v>
      </c>
      <c r="G257" t="s">
        <v>52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151</v>
      </c>
      <c r="B258" t="s">
        <v>42</v>
      </c>
      <c r="C258" t="s">
        <v>29</v>
      </c>
      <c r="D258">
        <v>2019</v>
      </c>
      <c r="E258" t="s">
        <v>118</v>
      </c>
      <c r="F258" t="s">
        <v>107</v>
      </c>
      <c r="G258" t="s">
        <v>29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151</v>
      </c>
      <c r="B259" t="s">
        <v>42</v>
      </c>
      <c r="C259" t="s">
        <v>30</v>
      </c>
      <c r="D259">
        <v>2019</v>
      </c>
      <c r="E259" t="s">
        <v>118</v>
      </c>
      <c r="F259" t="s">
        <v>107</v>
      </c>
      <c r="G259" t="s">
        <v>30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151</v>
      </c>
      <c r="B260" t="s">
        <v>42</v>
      </c>
      <c r="C260" t="s">
        <v>54</v>
      </c>
      <c r="D260">
        <v>2019</v>
      </c>
      <c r="E260" t="s">
        <v>118</v>
      </c>
      <c r="F260" t="s">
        <v>107</v>
      </c>
      <c r="G260" t="s">
        <v>54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151</v>
      </c>
      <c r="B261" t="s">
        <v>42</v>
      </c>
      <c r="C261" t="s">
        <v>53</v>
      </c>
      <c r="D261">
        <v>2019</v>
      </c>
      <c r="E261" t="s">
        <v>118</v>
      </c>
      <c r="F261" t="s">
        <v>107</v>
      </c>
      <c r="G261" t="s">
        <v>53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151</v>
      </c>
      <c r="B262" t="s">
        <v>42</v>
      </c>
      <c r="C262" t="s">
        <v>40</v>
      </c>
      <c r="D262">
        <v>2019</v>
      </c>
      <c r="E262" t="s">
        <v>118</v>
      </c>
      <c r="F262" t="s">
        <v>107</v>
      </c>
      <c r="G262" t="s">
        <v>40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151</v>
      </c>
      <c r="B263" t="s">
        <v>42</v>
      </c>
      <c r="C263" t="s">
        <v>79</v>
      </c>
      <c r="D263">
        <v>2019</v>
      </c>
      <c r="E263" t="s">
        <v>118</v>
      </c>
      <c r="F263" t="s">
        <v>107</v>
      </c>
      <c r="G263" t="s">
        <v>79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151</v>
      </c>
      <c r="B264" t="s">
        <v>42</v>
      </c>
      <c r="C264" t="s">
        <v>74</v>
      </c>
      <c r="D264">
        <v>2019</v>
      </c>
      <c r="E264" t="s">
        <v>118</v>
      </c>
      <c r="F264" t="s">
        <v>107</v>
      </c>
      <c r="G264" t="s">
        <v>51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151</v>
      </c>
      <c r="B265" t="s">
        <v>42</v>
      </c>
      <c r="C265" t="s">
        <v>77</v>
      </c>
      <c r="D265">
        <v>2019</v>
      </c>
      <c r="E265" t="s">
        <v>118</v>
      </c>
      <c r="F265" t="s">
        <v>107</v>
      </c>
      <c r="G265" t="s">
        <v>77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151</v>
      </c>
      <c r="B266" t="s">
        <v>42</v>
      </c>
      <c r="C266" t="s">
        <v>64</v>
      </c>
      <c r="D266">
        <v>2019</v>
      </c>
      <c r="E266" t="s">
        <v>118</v>
      </c>
      <c r="F266" t="s">
        <v>107</v>
      </c>
      <c r="G266" t="s">
        <v>64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151</v>
      </c>
      <c r="B267" t="s">
        <v>42</v>
      </c>
      <c r="C267" t="s">
        <v>119</v>
      </c>
      <c r="D267">
        <v>2019</v>
      </c>
      <c r="E267" t="s">
        <v>118</v>
      </c>
      <c r="F267" t="s">
        <v>107</v>
      </c>
      <c r="G267" t="s">
        <v>52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151</v>
      </c>
      <c r="B268" t="s">
        <v>42</v>
      </c>
      <c r="C268" t="s">
        <v>28</v>
      </c>
      <c r="D268">
        <v>2030</v>
      </c>
      <c r="E268" t="s">
        <v>118</v>
      </c>
      <c r="F268" t="s">
        <v>107</v>
      </c>
      <c r="G268" t="s">
        <v>51</v>
      </c>
      <c r="H268">
        <v>208872.91028342993</v>
      </c>
      <c r="I268">
        <v>1464199.1010868438</v>
      </c>
      <c r="J268">
        <v>689344.93679168622</v>
      </c>
      <c r="K268">
        <v>689344.93679168622</v>
      </c>
    </row>
    <row r="269" spans="1:11" x14ac:dyDescent="0.25">
      <c r="A269" t="s">
        <v>151</v>
      </c>
      <c r="B269" t="s">
        <v>42</v>
      </c>
      <c r="C269" t="s">
        <v>33</v>
      </c>
      <c r="D269">
        <v>2030</v>
      </c>
      <c r="E269" t="s">
        <v>118</v>
      </c>
      <c r="F269" t="s">
        <v>107</v>
      </c>
      <c r="G269" t="s">
        <v>51</v>
      </c>
      <c r="H269">
        <v>41774.582056685991</v>
      </c>
      <c r="I269">
        <v>161249.88673880795</v>
      </c>
      <c r="J269">
        <v>69050.710566450332</v>
      </c>
      <c r="K269">
        <v>69050.710566450332</v>
      </c>
    </row>
    <row r="270" spans="1:11" x14ac:dyDescent="0.25">
      <c r="A270" t="s">
        <v>151</v>
      </c>
      <c r="B270" t="s">
        <v>42</v>
      </c>
      <c r="C270" t="s">
        <v>71</v>
      </c>
      <c r="D270">
        <v>2030</v>
      </c>
      <c r="E270" t="s">
        <v>118</v>
      </c>
      <c r="F270" t="s">
        <v>107</v>
      </c>
      <c r="G270" t="s">
        <v>51</v>
      </c>
      <c r="H270">
        <v>30323.560406133198</v>
      </c>
      <c r="I270">
        <v>133423.66578698609</v>
      </c>
      <c r="J270">
        <v>102789.5921222941</v>
      </c>
      <c r="K270">
        <v>102789.5921222941</v>
      </c>
    </row>
    <row r="271" spans="1:11" x14ac:dyDescent="0.25">
      <c r="A271" t="s">
        <v>151</v>
      </c>
      <c r="B271" t="s">
        <v>42</v>
      </c>
      <c r="C271" t="s">
        <v>52</v>
      </c>
      <c r="D271">
        <v>2030</v>
      </c>
      <c r="E271" t="s">
        <v>118</v>
      </c>
      <c r="F271" t="s">
        <v>107</v>
      </c>
      <c r="G271" t="s">
        <v>52</v>
      </c>
      <c r="H271">
        <v>55699.442742247978</v>
      </c>
      <c r="I271">
        <v>2763806.3488703445</v>
      </c>
      <c r="J271">
        <v>0</v>
      </c>
      <c r="K271">
        <v>2763806.3488703445</v>
      </c>
    </row>
    <row r="272" spans="1:11" x14ac:dyDescent="0.25">
      <c r="A272" t="s">
        <v>151</v>
      </c>
      <c r="B272" t="s">
        <v>42</v>
      </c>
      <c r="C272" t="s">
        <v>29</v>
      </c>
      <c r="D272">
        <v>2030</v>
      </c>
      <c r="E272" t="s">
        <v>118</v>
      </c>
      <c r="F272" t="s">
        <v>107</v>
      </c>
      <c r="G272" t="s">
        <v>29</v>
      </c>
      <c r="H272">
        <v>6962.4303427809973</v>
      </c>
      <c r="I272">
        <v>144470.42961270569</v>
      </c>
      <c r="J272">
        <v>0</v>
      </c>
      <c r="K272">
        <v>144470.42961270569</v>
      </c>
    </row>
    <row r="273" spans="1:11" x14ac:dyDescent="0.25">
      <c r="A273" t="s">
        <v>151</v>
      </c>
      <c r="B273" t="s">
        <v>42</v>
      </c>
      <c r="C273" t="s">
        <v>30</v>
      </c>
      <c r="D273">
        <v>2030</v>
      </c>
      <c r="E273" t="s">
        <v>118</v>
      </c>
      <c r="F273" t="s">
        <v>107</v>
      </c>
      <c r="G273" t="s">
        <v>30</v>
      </c>
      <c r="H273">
        <v>10163.887521367629</v>
      </c>
      <c r="I273">
        <v>431669.44515353418</v>
      </c>
      <c r="J273">
        <v>0</v>
      </c>
      <c r="K273">
        <v>431669.44515353418</v>
      </c>
    </row>
    <row r="274" spans="1:11" x14ac:dyDescent="0.25">
      <c r="A274" t="s">
        <v>151</v>
      </c>
      <c r="B274" t="s">
        <v>42</v>
      </c>
      <c r="C274" t="s">
        <v>54</v>
      </c>
      <c r="D274">
        <v>2030</v>
      </c>
      <c r="E274" t="s">
        <v>118</v>
      </c>
      <c r="F274" t="s">
        <v>107</v>
      </c>
      <c r="G274" t="s">
        <v>54</v>
      </c>
      <c r="H274">
        <v>6250.8293030571213</v>
      </c>
      <c r="I274">
        <v>507903.20486332785</v>
      </c>
      <c r="J274">
        <v>0</v>
      </c>
      <c r="K274">
        <v>507903.20486332785</v>
      </c>
    </row>
    <row r="275" spans="1:11" x14ac:dyDescent="0.25">
      <c r="A275" t="s">
        <v>151</v>
      </c>
      <c r="B275" t="s">
        <v>42</v>
      </c>
      <c r="C275" t="s">
        <v>53</v>
      </c>
      <c r="D275">
        <v>2030</v>
      </c>
      <c r="E275" t="s">
        <v>118</v>
      </c>
      <c r="F275" t="s">
        <v>107</v>
      </c>
      <c r="G275" t="s">
        <v>53</v>
      </c>
      <c r="H275">
        <v>33772.09797292453</v>
      </c>
      <c r="I275">
        <v>1503196.0807748709</v>
      </c>
      <c r="J275">
        <v>0</v>
      </c>
      <c r="K275">
        <v>1503196.0807748709</v>
      </c>
    </row>
    <row r="276" spans="1:11" x14ac:dyDescent="0.25">
      <c r="A276" t="s">
        <v>151</v>
      </c>
      <c r="B276" t="s">
        <v>42</v>
      </c>
      <c r="C276" t="s">
        <v>40</v>
      </c>
      <c r="D276">
        <v>2030</v>
      </c>
      <c r="E276" t="s">
        <v>118</v>
      </c>
      <c r="F276" t="s">
        <v>107</v>
      </c>
      <c r="G276" t="s">
        <v>40</v>
      </c>
      <c r="H276">
        <v>942.33773574359259</v>
      </c>
      <c r="I276">
        <v>8000.4473764631011</v>
      </c>
      <c r="J276">
        <v>0</v>
      </c>
      <c r="K276">
        <v>8000.4473764631011</v>
      </c>
    </row>
    <row r="277" spans="1:11" x14ac:dyDescent="0.25">
      <c r="A277" t="s">
        <v>151</v>
      </c>
      <c r="B277" t="s">
        <v>42</v>
      </c>
      <c r="C277" t="s">
        <v>79</v>
      </c>
      <c r="D277">
        <v>2030</v>
      </c>
      <c r="E277" t="s">
        <v>118</v>
      </c>
      <c r="F277" t="s">
        <v>107</v>
      </c>
      <c r="G277" t="s">
        <v>79</v>
      </c>
      <c r="H277">
        <v>12981.994545159621</v>
      </c>
      <c r="I277">
        <v>386810.77609115886</v>
      </c>
      <c r="J277">
        <v>0</v>
      </c>
      <c r="K277">
        <v>386810.77609115886</v>
      </c>
    </row>
    <row r="278" spans="1:11" x14ac:dyDescent="0.25">
      <c r="A278" t="s">
        <v>151</v>
      </c>
      <c r="B278" t="s">
        <v>42</v>
      </c>
      <c r="C278" t="s">
        <v>74</v>
      </c>
      <c r="D278">
        <v>2030</v>
      </c>
      <c r="E278" t="s">
        <v>118</v>
      </c>
      <c r="F278" t="s">
        <v>107</v>
      </c>
      <c r="G278" t="s">
        <v>51</v>
      </c>
      <c r="H278">
        <v>18749.967555234878</v>
      </c>
      <c r="I278">
        <v>267915.67564177513</v>
      </c>
      <c r="J278">
        <v>64199.888909124238</v>
      </c>
      <c r="K278">
        <v>64199.888909124238</v>
      </c>
    </row>
    <row r="279" spans="1:11" x14ac:dyDescent="0.25">
      <c r="A279" t="s">
        <v>151</v>
      </c>
      <c r="B279" t="s">
        <v>42</v>
      </c>
      <c r="C279" t="s">
        <v>77</v>
      </c>
      <c r="D279">
        <v>2030</v>
      </c>
      <c r="E279" t="s">
        <v>118</v>
      </c>
      <c r="F279" t="s">
        <v>107</v>
      </c>
      <c r="G279" t="s">
        <v>77</v>
      </c>
      <c r="H279">
        <v>3521.5670849566368</v>
      </c>
      <c r="I279">
        <v>176078.35424783186</v>
      </c>
      <c r="J279">
        <v>0</v>
      </c>
      <c r="K279">
        <v>176078.35424783186</v>
      </c>
    </row>
    <row r="280" spans="1:11" x14ac:dyDescent="0.25">
      <c r="A280" t="s">
        <v>151</v>
      </c>
      <c r="B280" t="s">
        <v>42</v>
      </c>
      <c r="C280" t="s">
        <v>64</v>
      </c>
      <c r="D280">
        <v>2030</v>
      </c>
      <c r="E280" t="s">
        <v>118</v>
      </c>
      <c r="F280" t="s">
        <v>107</v>
      </c>
      <c r="G280" t="s">
        <v>64</v>
      </c>
      <c r="H280">
        <v>1354.1971019229918</v>
      </c>
      <c r="I280">
        <v>33029.197607877853</v>
      </c>
      <c r="J280">
        <v>0</v>
      </c>
      <c r="K280">
        <v>33029.197607877853</v>
      </c>
    </row>
    <row r="281" spans="1:11" x14ac:dyDescent="0.25">
      <c r="A281" t="s">
        <v>151</v>
      </c>
      <c r="B281" t="s">
        <v>42</v>
      </c>
      <c r="C281" t="s">
        <v>119</v>
      </c>
      <c r="D281">
        <v>2030</v>
      </c>
      <c r="E281" t="s">
        <v>118</v>
      </c>
      <c r="F281" t="s">
        <v>107</v>
      </c>
      <c r="G281" t="s">
        <v>52</v>
      </c>
      <c r="H281">
        <v>32955.503622496719</v>
      </c>
      <c r="I281">
        <v>454456.39495422982</v>
      </c>
      <c r="J281">
        <v>0</v>
      </c>
      <c r="K281">
        <v>454456.39495422982</v>
      </c>
    </row>
    <row r="282" spans="1:11" x14ac:dyDescent="0.25">
      <c r="A282" t="s">
        <v>151</v>
      </c>
      <c r="B282" t="s">
        <v>42</v>
      </c>
      <c r="C282" t="s">
        <v>28</v>
      </c>
      <c r="D282">
        <v>2050</v>
      </c>
      <c r="E282" t="s">
        <v>118</v>
      </c>
      <c r="F282" t="s">
        <v>107</v>
      </c>
      <c r="G282" t="s">
        <v>51</v>
      </c>
      <c r="H282">
        <v>205068.90222714469</v>
      </c>
      <c r="I282">
        <v>1437533.0046122842</v>
      </c>
      <c r="J282">
        <v>818315.66287554288</v>
      </c>
      <c r="K282">
        <v>818315.66287554288</v>
      </c>
    </row>
    <row r="283" spans="1:11" x14ac:dyDescent="0.25">
      <c r="A283" t="s">
        <v>151</v>
      </c>
      <c r="B283" t="s">
        <v>42</v>
      </c>
      <c r="C283" t="s">
        <v>33</v>
      </c>
      <c r="D283">
        <v>2050</v>
      </c>
      <c r="E283" t="s">
        <v>118</v>
      </c>
      <c r="F283" t="s">
        <v>107</v>
      </c>
      <c r="G283" t="s">
        <v>51</v>
      </c>
      <c r="H283">
        <v>16808.926412061042</v>
      </c>
      <c r="I283">
        <v>64882.455950555624</v>
      </c>
      <c r="J283">
        <v>33594.068193249012</v>
      </c>
      <c r="K283">
        <v>33594.068193249012</v>
      </c>
    </row>
    <row r="284" spans="1:11" x14ac:dyDescent="0.25">
      <c r="A284" t="s">
        <v>151</v>
      </c>
      <c r="B284" t="s">
        <v>42</v>
      </c>
      <c r="C284" t="s">
        <v>71</v>
      </c>
      <c r="D284">
        <v>2050</v>
      </c>
      <c r="E284" t="s">
        <v>118</v>
      </c>
      <c r="F284" t="s">
        <v>107</v>
      </c>
      <c r="G284" t="s">
        <v>51</v>
      </c>
      <c r="H284">
        <v>27453.048198906061</v>
      </c>
      <c r="I284">
        <v>120793.41207518667</v>
      </c>
      <c r="J284">
        <v>112519.06334803638</v>
      </c>
      <c r="K284">
        <v>112519.06334803638</v>
      </c>
    </row>
    <row r="285" spans="1:11" x14ac:dyDescent="0.25">
      <c r="A285" t="s">
        <v>151</v>
      </c>
      <c r="B285" t="s">
        <v>42</v>
      </c>
      <c r="C285" t="s">
        <v>52</v>
      </c>
      <c r="D285">
        <v>2050</v>
      </c>
      <c r="E285" t="s">
        <v>118</v>
      </c>
      <c r="F285" t="s">
        <v>107</v>
      </c>
      <c r="G285" t="s">
        <v>52</v>
      </c>
      <c r="H285">
        <v>69336.821449751806</v>
      </c>
      <c r="I285">
        <v>3440493.0803366848</v>
      </c>
      <c r="J285">
        <v>0</v>
      </c>
      <c r="K285">
        <v>3440493.0803366848</v>
      </c>
    </row>
    <row r="286" spans="1:11" x14ac:dyDescent="0.25">
      <c r="A286" t="s">
        <v>151</v>
      </c>
      <c r="B286" t="s">
        <v>42</v>
      </c>
      <c r="C286" t="s">
        <v>29</v>
      </c>
      <c r="D286">
        <v>2050</v>
      </c>
      <c r="E286" t="s">
        <v>118</v>
      </c>
      <c r="F286" t="s">
        <v>107</v>
      </c>
      <c r="G286" t="s">
        <v>29</v>
      </c>
      <c r="H286">
        <v>6303.3474045228904</v>
      </c>
      <c r="I286">
        <v>130794.45864385</v>
      </c>
      <c r="J286">
        <v>0</v>
      </c>
      <c r="K286">
        <v>130794.45864385</v>
      </c>
    </row>
    <row r="287" spans="1:11" x14ac:dyDescent="0.25">
      <c r="A287" t="s">
        <v>151</v>
      </c>
      <c r="B287" t="s">
        <v>42</v>
      </c>
      <c r="C287" t="s">
        <v>30</v>
      </c>
      <c r="D287">
        <v>2050</v>
      </c>
      <c r="E287" t="s">
        <v>118</v>
      </c>
      <c r="F287" t="s">
        <v>107</v>
      </c>
      <c r="G287" t="s">
        <v>30</v>
      </c>
      <c r="H287">
        <v>9201.745780351348</v>
      </c>
      <c r="I287">
        <v>390806.41999407549</v>
      </c>
      <c r="J287">
        <v>0</v>
      </c>
      <c r="K287">
        <v>390806.41999407549</v>
      </c>
    </row>
    <row r="288" spans="1:11" x14ac:dyDescent="0.25">
      <c r="A288" t="s">
        <v>151</v>
      </c>
      <c r="B288" t="s">
        <v>42</v>
      </c>
      <c r="C288" t="s">
        <v>54</v>
      </c>
      <c r="D288">
        <v>2050</v>
      </c>
      <c r="E288" t="s">
        <v>118</v>
      </c>
      <c r="F288" t="s">
        <v>107</v>
      </c>
      <c r="G288" t="s">
        <v>54</v>
      </c>
      <c r="H288">
        <v>21431.381175377828</v>
      </c>
      <c r="I288">
        <v>1741379.6883396553</v>
      </c>
      <c r="J288">
        <v>0</v>
      </c>
      <c r="K288">
        <v>1741379.6883396553</v>
      </c>
    </row>
    <row r="289" spans="1:11" x14ac:dyDescent="0.25">
      <c r="A289" t="s">
        <v>151</v>
      </c>
      <c r="B289" t="s">
        <v>42</v>
      </c>
      <c r="C289" t="s">
        <v>53</v>
      </c>
      <c r="D289">
        <v>2050</v>
      </c>
      <c r="E289" t="s">
        <v>118</v>
      </c>
      <c r="F289" t="s">
        <v>107</v>
      </c>
      <c r="G289" t="s">
        <v>53</v>
      </c>
      <c r="H289">
        <v>30575.137649118256</v>
      </c>
      <c r="I289">
        <v>1360899.3767622537</v>
      </c>
      <c r="J289">
        <v>0</v>
      </c>
      <c r="K289">
        <v>1360899.3767622537</v>
      </c>
    </row>
    <row r="290" spans="1:11" x14ac:dyDescent="0.25">
      <c r="A290" t="s">
        <v>151</v>
      </c>
      <c r="B290" t="s">
        <v>42</v>
      </c>
      <c r="C290" t="s">
        <v>40</v>
      </c>
      <c r="D290">
        <v>2050</v>
      </c>
      <c r="E290" t="s">
        <v>118</v>
      </c>
      <c r="F290" t="s">
        <v>107</v>
      </c>
      <c r="G290" t="s">
        <v>40</v>
      </c>
      <c r="H290">
        <v>853.1334359333481</v>
      </c>
      <c r="I290">
        <v>7243.1028710741266</v>
      </c>
      <c r="J290">
        <v>0</v>
      </c>
      <c r="K290">
        <v>7243.1028710741266</v>
      </c>
    </row>
    <row r="291" spans="1:11" x14ac:dyDescent="0.25">
      <c r="A291" t="s">
        <v>151</v>
      </c>
      <c r="B291" t="s">
        <v>42</v>
      </c>
      <c r="C291" t="s">
        <v>79</v>
      </c>
      <c r="D291">
        <v>2050</v>
      </c>
      <c r="E291" t="s">
        <v>118</v>
      </c>
      <c r="F291" t="s">
        <v>107</v>
      </c>
      <c r="G291" t="s">
        <v>79</v>
      </c>
      <c r="H291">
        <v>11753.082988702035</v>
      </c>
      <c r="I291">
        <v>350194.19677839131</v>
      </c>
      <c r="J291">
        <v>0</v>
      </c>
      <c r="K291">
        <v>350194.19677839131</v>
      </c>
    </row>
    <row r="292" spans="1:11" x14ac:dyDescent="0.25">
      <c r="A292" t="s">
        <v>151</v>
      </c>
      <c r="B292" t="s">
        <v>42</v>
      </c>
      <c r="C292" t="s">
        <v>74</v>
      </c>
      <c r="D292">
        <v>2050</v>
      </c>
      <c r="E292" t="s">
        <v>118</v>
      </c>
      <c r="F292" t="s">
        <v>107</v>
      </c>
      <c r="G292" t="s">
        <v>51</v>
      </c>
      <c r="H292">
        <v>16975.04369960714</v>
      </c>
      <c r="I292">
        <v>242554.03581000675</v>
      </c>
      <c r="J292">
        <v>70276.68091637356</v>
      </c>
      <c r="K292">
        <v>70276.68091637356</v>
      </c>
    </row>
    <row r="293" spans="1:11" x14ac:dyDescent="0.25">
      <c r="A293" t="s">
        <v>151</v>
      </c>
      <c r="B293" t="s">
        <v>42</v>
      </c>
      <c r="C293" t="s">
        <v>77</v>
      </c>
      <c r="D293">
        <v>2050</v>
      </c>
      <c r="E293" t="s">
        <v>118</v>
      </c>
      <c r="F293" t="s">
        <v>107</v>
      </c>
      <c r="G293" t="s">
        <v>77</v>
      </c>
      <c r="H293">
        <v>3188.2057919373397</v>
      </c>
      <c r="I293">
        <v>159410.28959686699</v>
      </c>
      <c r="J293">
        <v>0</v>
      </c>
      <c r="K293">
        <v>159410.28959686699</v>
      </c>
    </row>
    <row r="294" spans="1:11" x14ac:dyDescent="0.25">
      <c r="A294" t="s">
        <v>151</v>
      </c>
      <c r="B294" t="s">
        <v>42</v>
      </c>
      <c r="C294" t="s">
        <v>64</v>
      </c>
      <c r="D294">
        <v>2050</v>
      </c>
      <c r="E294" t="s">
        <v>118</v>
      </c>
      <c r="F294" t="s">
        <v>107</v>
      </c>
      <c r="G294" t="s">
        <v>64</v>
      </c>
      <c r="H294">
        <v>1226.0050538917412</v>
      </c>
      <c r="I294">
        <v>29902.562290042471</v>
      </c>
      <c r="J294">
        <v>0</v>
      </c>
      <c r="K294">
        <v>29902.562290042471</v>
      </c>
    </row>
    <row r="295" spans="1:11" x14ac:dyDescent="0.25">
      <c r="A295" t="s">
        <v>151</v>
      </c>
      <c r="B295" t="s">
        <v>42</v>
      </c>
      <c r="C295" t="s">
        <v>119</v>
      </c>
      <c r="D295">
        <v>2050</v>
      </c>
      <c r="E295" t="s">
        <v>118</v>
      </c>
      <c r="F295" t="s">
        <v>107</v>
      </c>
      <c r="G295" t="s">
        <v>52</v>
      </c>
      <c r="H295">
        <v>0</v>
      </c>
      <c r="I295">
        <v>0</v>
      </c>
      <c r="J295">
        <v>0</v>
      </c>
      <c r="K295">
        <v>0</v>
      </c>
    </row>
    <row r="296" spans="1:11" x14ac:dyDescent="0.25">
      <c r="A296" t="s">
        <v>151</v>
      </c>
      <c r="B296" t="s">
        <v>42</v>
      </c>
      <c r="C296" t="s">
        <v>28</v>
      </c>
      <c r="D296">
        <v>2019</v>
      </c>
      <c r="E296" t="s">
        <v>120</v>
      </c>
      <c r="F296" t="s">
        <v>107</v>
      </c>
      <c r="G296" t="s">
        <v>51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151</v>
      </c>
      <c r="B297" t="s">
        <v>42</v>
      </c>
      <c r="C297" t="s">
        <v>33</v>
      </c>
      <c r="D297">
        <v>2019</v>
      </c>
      <c r="E297" t="s">
        <v>120</v>
      </c>
      <c r="F297" t="s">
        <v>107</v>
      </c>
      <c r="G297" t="s">
        <v>51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151</v>
      </c>
      <c r="B298" t="s">
        <v>42</v>
      </c>
      <c r="C298" t="s">
        <v>71</v>
      </c>
      <c r="D298">
        <v>2019</v>
      </c>
      <c r="E298" t="s">
        <v>120</v>
      </c>
      <c r="F298" t="s">
        <v>107</v>
      </c>
      <c r="G298" t="s">
        <v>51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151</v>
      </c>
      <c r="B299" t="s">
        <v>42</v>
      </c>
      <c r="C299" t="s">
        <v>52</v>
      </c>
      <c r="D299">
        <v>2019</v>
      </c>
      <c r="E299" t="s">
        <v>120</v>
      </c>
      <c r="F299" t="s">
        <v>107</v>
      </c>
      <c r="G299" t="s">
        <v>52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151</v>
      </c>
      <c r="B300" t="s">
        <v>42</v>
      </c>
      <c r="C300" t="s">
        <v>29</v>
      </c>
      <c r="D300">
        <v>2019</v>
      </c>
      <c r="E300" t="s">
        <v>120</v>
      </c>
      <c r="F300" t="s">
        <v>107</v>
      </c>
      <c r="G300" t="s">
        <v>29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151</v>
      </c>
      <c r="B301" t="s">
        <v>42</v>
      </c>
      <c r="C301" t="s">
        <v>30</v>
      </c>
      <c r="D301">
        <v>2019</v>
      </c>
      <c r="E301" t="s">
        <v>120</v>
      </c>
      <c r="F301" t="s">
        <v>107</v>
      </c>
      <c r="G301" t="s">
        <v>30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151</v>
      </c>
      <c r="B302" t="s">
        <v>42</v>
      </c>
      <c r="C302" t="s">
        <v>54</v>
      </c>
      <c r="D302">
        <v>2019</v>
      </c>
      <c r="E302" t="s">
        <v>120</v>
      </c>
      <c r="F302" t="s">
        <v>107</v>
      </c>
      <c r="G302" t="s">
        <v>54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151</v>
      </c>
      <c r="B303" t="s">
        <v>42</v>
      </c>
      <c r="C303" t="s">
        <v>53</v>
      </c>
      <c r="D303">
        <v>2019</v>
      </c>
      <c r="E303" t="s">
        <v>120</v>
      </c>
      <c r="F303" t="s">
        <v>107</v>
      </c>
      <c r="G303" t="s">
        <v>53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151</v>
      </c>
      <c r="B304" t="s">
        <v>42</v>
      </c>
      <c r="C304" t="s">
        <v>40</v>
      </c>
      <c r="D304">
        <v>2019</v>
      </c>
      <c r="E304" t="s">
        <v>120</v>
      </c>
      <c r="F304" t="s">
        <v>107</v>
      </c>
      <c r="G304" t="s">
        <v>40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151</v>
      </c>
      <c r="B305" t="s">
        <v>42</v>
      </c>
      <c r="C305" t="s">
        <v>79</v>
      </c>
      <c r="D305">
        <v>2019</v>
      </c>
      <c r="E305" t="s">
        <v>120</v>
      </c>
      <c r="F305" t="s">
        <v>107</v>
      </c>
      <c r="G305" t="s">
        <v>79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151</v>
      </c>
      <c r="B306" t="s">
        <v>42</v>
      </c>
      <c r="C306" t="s">
        <v>74</v>
      </c>
      <c r="D306">
        <v>2019</v>
      </c>
      <c r="E306" t="s">
        <v>120</v>
      </c>
      <c r="F306" t="s">
        <v>107</v>
      </c>
      <c r="G306" t="s">
        <v>51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151</v>
      </c>
      <c r="B307" t="s">
        <v>42</v>
      </c>
      <c r="C307" t="s">
        <v>77</v>
      </c>
      <c r="D307">
        <v>2019</v>
      </c>
      <c r="E307" t="s">
        <v>120</v>
      </c>
      <c r="F307" t="s">
        <v>107</v>
      </c>
      <c r="G307" t="s">
        <v>77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151</v>
      </c>
      <c r="B308" t="s">
        <v>42</v>
      </c>
      <c r="C308" t="s">
        <v>64</v>
      </c>
      <c r="D308">
        <v>2019</v>
      </c>
      <c r="E308" t="s">
        <v>120</v>
      </c>
      <c r="F308" t="s">
        <v>107</v>
      </c>
      <c r="G308" t="s">
        <v>64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151</v>
      </c>
      <c r="B309" t="s">
        <v>42</v>
      </c>
      <c r="C309" t="s">
        <v>119</v>
      </c>
      <c r="D309">
        <v>2019</v>
      </c>
      <c r="E309" t="s">
        <v>120</v>
      </c>
      <c r="F309" t="s">
        <v>107</v>
      </c>
      <c r="G309" t="s">
        <v>52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151</v>
      </c>
      <c r="B310" t="s">
        <v>42</v>
      </c>
      <c r="C310" t="s">
        <v>28</v>
      </c>
      <c r="D310">
        <v>2030</v>
      </c>
      <c r="E310" t="s">
        <v>120</v>
      </c>
      <c r="F310" t="s">
        <v>107</v>
      </c>
      <c r="G310" t="s">
        <v>51</v>
      </c>
      <c r="H310">
        <v>32598.662298569994</v>
      </c>
      <c r="I310">
        <v>153106.1372176937</v>
      </c>
      <c r="J310">
        <v>72082.369402090204</v>
      </c>
      <c r="K310">
        <v>72082.369402090204</v>
      </c>
    </row>
    <row r="311" spans="1:11" x14ac:dyDescent="0.25">
      <c r="A311" t="s">
        <v>151</v>
      </c>
      <c r="B311" t="s">
        <v>42</v>
      </c>
      <c r="C311" t="s">
        <v>33</v>
      </c>
      <c r="D311">
        <v>2030</v>
      </c>
      <c r="E311" t="s">
        <v>120</v>
      </c>
      <c r="F311" t="s">
        <v>107</v>
      </c>
      <c r="G311" t="s">
        <v>51</v>
      </c>
      <c r="H311">
        <v>6519.7324597139987</v>
      </c>
      <c r="I311">
        <v>14344.71535786274</v>
      </c>
      <c r="J311">
        <v>6142.7192810269962</v>
      </c>
      <c r="K311">
        <v>6142.7192810269962</v>
      </c>
    </row>
    <row r="312" spans="1:11" x14ac:dyDescent="0.25">
      <c r="A312" t="s">
        <v>151</v>
      </c>
      <c r="B312" t="s">
        <v>42</v>
      </c>
      <c r="C312" t="s">
        <v>71</v>
      </c>
      <c r="D312">
        <v>2030</v>
      </c>
      <c r="E312" t="s">
        <v>120</v>
      </c>
      <c r="F312" t="s">
        <v>107</v>
      </c>
      <c r="G312" t="s">
        <v>51</v>
      </c>
      <c r="H312">
        <v>4732.5787917086509</v>
      </c>
      <c r="I312">
        <v>11452.840675934938</v>
      </c>
      <c r="J312">
        <v>8823.2684567402757</v>
      </c>
      <c r="K312">
        <v>8823.2684567402757</v>
      </c>
    </row>
    <row r="313" spans="1:11" x14ac:dyDescent="0.25">
      <c r="A313" t="s">
        <v>151</v>
      </c>
      <c r="B313" t="s">
        <v>42</v>
      </c>
      <c r="C313" t="s">
        <v>52</v>
      </c>
      <c r="D313">
        <v>2030</v>
      </c>
      <c r="E313" t="s">
        <v>120</v>
      </c>
      <c r="F313" t="s">
        <v>107</v>
      </c>
      <c r="G313" t="s">
        <v>52</v>
      </c>
      <c r="H313">
        <v>8692.9766129519976</v>
      </c>
      <c r="I313">
        <v>336449.48963704892</v>
      </c>
      <c r="J313">
        <v>0</v>
      </c>
      <c r="K313">
        <v>336449.48963704892</v>
      </c>
    </row>
    <row r="314" spans="1:11" x14ac:dyDescent="0.25">
      <c r="A314" t="s">
        <v>151</v>
      </c>
      <c r="B314" t="s">
        <v>42</v>
      </c>
      <c r="C314" t="s">
        <v>29</v>
      </c>
      <c r="D314">
        <v>2030</v>
      </c>
      <c r="E314" t="s">
        <v>120</v>
      </c>
      <c r="F314" t="s">
        <v>107</v>
      </c>
      <c r="G314" t="s">
        <v>29</v>
      </c>
      <c r="H314">
        <v>1086.6220766189997</v>
      </c>
      <c r="I314">
        <v>12852.02261121122</v>
      </c>
      <c r="J314">
        <v>0</v>
      </c>
      <c r="K314">
        <v>12852.02261121122</v>
      </c>
    </row>
    <row r="315" spans="1:11" x14ac:dyDescent="0.25">
      <c r="A315" t="s">
        <v>151</v>
      </c>
      <c r="B315" t="s">
        <v>42</v>
      </c>
      <c r="C315" t="s">
        <v>30</v>
      </c>
      <c r="D315">
        <v>2030</v>
      </c>
      <c r="E315" t="s">
        <v>120</v>
      </c>
      <c r="F315" t="s">
        <v>107</v>
      </c>
      <c r="G315" t="s">
        <v>30</v>
      </c>
      <c r="H315">
        <v>1586.271462872405</v>
      </c>
      <c r="I315">
        <v>38401.11422493001</v>
      </c>
      <c r="J315">
        <v>0</v>
      </c>
      <c r="K315">
        <v>38401.11422493001</v>
      </c>
    </row>
    <row r="316" spans="1:11" x14ac:dyDescent="0.25">
      <c r="A316" t="s">
        <v>151</v>
      </c>
      <c r="B316" t="s">
        <v>42</v>
      </c>
      <c r="C316" t="s">
        <v>54</v>
      </c>
      <c r="D316">
        <v>2030</v>
      </c>
      <c r="E316" t="s">
        <v>120</v>
      </c>
      <c r="F316" t="s">
        <v>107</v>
      </c>
      <c r="G316" t="s">
        <v>54</v>
      </c>
      <c r="H316">
        <v>975.56295481238317</v>
      </c>
      <c r="I316">
        <v>45182.834236107599</v>
      </c>
      <c r="J316">
        <v>0</v>
      </c>
      <c r="K316">
        <v>45182.834236107599</v>
      </c>
    </row>
    <row r="317" spans="1:11" x14ac:dyDescent="0.25">
      <c r="A317" t="s">
        <v>151</v>
      </c>
      <c r="B317" t="s">
        <v>42</v>
      </c>
      <c r="C317" t="s">
        <v>53</v>
      </c>
      <c r="D317">
        <v>2030</v>
      </c>
      <c r="E317" t="s">
        <v>120</v>
      </c>
      <c r="F317" t="s">
        <v>107</v>
      </c>
      <c r="G317" t="s">
        <v>53</v>
      </c>
      <c r="H317">
        <v>5270.7898570460256</v>
      </c>
      <c r="I317">
        <v>194720.37092580844</v>
      </c>
      <c r="J317">
        <v>0</v>
      </c>
      <c r="K317">
        <v>194720.37092580844</v>
      </c>
    </row>
    <row r="318" spans="1:11" x14ac:dyDescent="0.25">
      <c r="A318" t="s">
        <v>151</v>
      </c>
      <c r="B318" t="s">
        <v>42</v>
      </c>
      <c r="C318" t="s">
        <v>40</v>
      </c>
      <c r="D318">
        <v>2030</v>
      </c>
      <c r="E318" t="s">
        <v>120</v>
      </c>
      <c r="F318" t="s">
        <v>107</v>
      </c>
      <c r="G318" t="s">
        <v>40</v>
      </c>
      <c r="H318">
        <v>147.07005124321964</v>
      </c>
      <c r="I318">
        <v>711.71609898131283</v>
      </c>
      <c r="J318">
        <v>0</v>
      </c>
      <c r="K318">
        <v>711.71609898131283</v>
      </c>
    </row>
    <row r="319" spans="1:11" x14ac:dyDescent="0.25">
      <c r="A319" t="s">
        <v>151</v>
      </c>
      <c r="B319" t="s">
        <v>42</v>
      </c>
      <c r="C319" t="s">
        <v>79</v>
      </c>
      <c r="D319">
        <v>2030</v>
      </c>
      <c r="E319" t="s">
        <v>120</v>
      </c>
      <c r="F319" t="s">
        <v>107</v>
      </c>
      <c r="G319" t="s">
        <v>79</v>
      </c>
      <c r="H319">
        <v>2026.0916342156638</v>
      </c>
      <c r="I319">
        <v>34410.507769034302</v>
      </c>
      <c r="J319">
        <v>0</v>
      </c>
      <c r="K319">
        <v>34410.507769034302</v>
      </c>
    </row>
    <row r="320" spans="1:11" x14ac:dyDescent="0.25">
      <c r="A320" t="s">
        <v>151</v>
      </c>
      <c r="B320" t="s">
        <v>42</v>
      </c>
      <c r="C320" t="s">
        <v>74</v>
      </c>
      <c r="D320">
        <v>2030</v>
      </c>
      <c r="E320" t="s">
        <v>120</v>
      </c>
      <c r="F320" t="s">
        <v>107</v>
      </c>
      <c r="G320" t="s">
        <v>51</v>
      </c>
      <c r="H320">
        <v>2926.2955144008188</v>
      </c>
      <c r="I320">
        <v>23833.654613450395</v>
      </c>
      <c r="J320">
        <v>5711.1924295457902</v>
      </c>
      <c r="K320">
        <v>5711.1924295457902</v>
      </c>
    </row>
    <row r="321" spans="1:11" x14ac:dyDescent="0.25">
      <c r="A321" t="s">
        <v>151</v>
      </c>
      <c r="B321" t="s">
        <v>42</v>
      </c>
      <c r="C321" t="s">
        <v>77</v>
      </c>
      <c r="D321">
        <v>2030</v>
      </c>
      <c r="E321" t="s">
        <v>120</v>
      </c>
      <c r="F321" t="s">
        <v>107</v>
      </c>
      <c r="G321" t="s">
        <v>77</v>
      </c>
      <c r="H321">
        <v>549.60873580248085</v>
      </c>
      <c r="I321">
        <v>15663.848970370702</v>
      </c>
      <c r="J321">
        <v>0</v>
      </c>
      <c r="K321">
        <v>15663.848970370702</v>
      </c>
    </row>
    <row r="322" spans="1:11" x14ac:dyDescent="0.25">
      <c r="A322" t="s">
        <v>151</v>
      </c>
      <c r="B322" t="s">
        <v>42</v>
      </c>
      <c r="C322" t="s">
        <v>64</v>
      </c>
      <c r="D322">
        <v>2030</v>
      </c>
      <c r="E322" t="s">
        <v>120</v>
      </c>
      <c r="F322" t="s">
        <v>107</v>
      </c>
      <c r="G322" t="s">
        <v>64</v>
      </c>
      <c r="H322">
        <v>211.34868064694092</v>
      </c>
      <c r="I322">
        <v>2938.2621455794224</v>
      </c>
      <c r="J322">
        <v>0</v>
      </c>
      <c r="K322">
        <v>2938.2621455794224</v>
      </c>
    </row>
    <row r="323" spans="1:11" x14ac:dyDescent="0.25">
      <c r="A323" t="s">
        <v>151</v>
      </c>
      <c r="B323" t="s">
        <v>42</v>
      </c>
      <c r="C323" t="s">
        <v>119</v>
      </c>
      <c r="D323">
        <v>2030</v>
      </c>
      <c r="E323" t="s">
        <v>120</v>
      </c>
      <c r="F323" t="s">
        <v>107</v>
      </c>
      <c r="G323" t="s">
        <v>52</v>
      </c>
      <c r="H323">
        <v>5143.3444959965982</v>
      </c>
      <c r="I323">
        <v>70926.720599793101</v>
      </c>
      <c r="J323">
        <v>0</v>
      </c>
      <c r="K323">
        <v>70926.720599793101</v>
      </c>
    </row>
    <row r="324" spans="1:11" x14ac:dyDescent="0.25">
      <c r="A324" t="s">
        <v>151</v>
      </c>
      <c r="B324" t="s">
        <v>42</v>
      </c>
      <c r="C324" t="s">
        <v>28</v>
      </c>
      <c r="D324">
        <v>2050</v>
      </c>
      <c r="E324" t="s">
        <v>120</v>
      </c>
      <c r="F324" t="s">
        <v>107</v>
      </c>
      <c r="G324" t="s">
        <v>51</v>
      </c>
      <c r="H324">
        <v>43499.46410878827</v>
      </c>
      <c r="I324">
        <v>204303.93307974585</v>
      </c>
      <c r="J324">
        <v>116300.01390564533</v>
      </c>
      <c r="K324">
        <v>116300.01390564533</v>
      </c>
    </row>
    <row r="325" spans="1:11" x14ac:dyDescent="0.25">
      <c r="A325" t="s">
        <v>151</v>
      </c>
      <c r="B325" t="s">
        <v>42</v>
      </c>
      <c r="C325" t="s">
        <v>33</v>
      </c>
      <c r="D325">
        <v>2050</v>
      </c>
      <c r="E325" t="s">
        <v>120</v>
      </c>
      <c r="F325" t="s">
        <v>107</v>
      </c>
      <c r="G325" t="s">
        <v>51</v>
      </c>
      <c r="H325">
        <v>3565.529844982645</v>
      </c>
      <c r="I325">
        <v>7844.8787649308142</v>
      </c>
      <c r="J325">
        <v>4061.8282451837449</v>
      </c>
      <c r="K325">
        <v>4061.8282451837449</v>
      </c>
    </row>
    <row r="326" spans="1:11" x14ac:dyDescent="0.25">
      <c r="A326" t="s">
        <v>151</v>
      </c>
      <c r="B326" t="s">
        <v>42</v>
      </c>
      <c r="C326" t="s">
        <v>71</v>
      </c>
      <c r="D326">
        <v>2050</v>
      </c>
      <c r="E326" t="s">
        <v>120</v>
      </c>
      <c r="F326" t="s">
        <v>107</v>
      </c>
      <c r="G326" t="s">
        <v>51</v>
      </c>
      <c r="H326">
        <v>5823.373860374013</v>
      </c>
      <c r="I326">
        <v>14092.564742105114</v>
      </c>
      <c r="J326">
        <v>13127.224057270912</v>
      </c>
      <c r="K326">
        <v>13127.224057270912</v>
      </c>
    </row>
    <row r="327" spans="1:11" x14ac:dyDescent="0.25">
      <c r="A327" t="s">
        <v>151</v>
      </c>
      <c r="B327" t="s">
        <v>42</v>
      </c>
      <c r="C327" t="s">
        <v>52</v>
      </c>
      <c r="D327">
        <v>2050</v>
      </c>
      <c r="E327" t="s">
        <v>120</v>
      </c>
      <c r="F327" t="s">
        <v>107</v>
      </c>
      <c r="G327" t="s">
        <v>52</v>
      </c>
      <c r="H327">
        <v>14707.810610553412</v>
      </c>
      <c r="I327">
        <v>569245.21874661499</v>
      </c>
      <c r="J327">
        <v>0</v>
      </c>
      <c r="K327">
        <v>569245.21874661499</v>
      </c>
    </row>
    <row r="328" spans="1:11" x14ac:dyDescent="0.25">
      <c r="A328" t="s">
        <v>151</v>
      </c>
      <c r="B328" t="s">
        <v>42</v>
      </c>
      <c r="C328" t="s">
        <v>29</v>
      </c>
      <c r="D328">
        <v>2050</v>
      </c>
      <c r="E328" t="s">
        <v>120</v>
      </c>
      <c r="F328" t="s">
        <v>107</v>
      </c>
      <c r="G328" t="s">
        <v>29</v>
      </c>
      <c r="H328">
        <v>1337.073691868492</v>
      </c>
      <c r="I328">
        <v>15814.239090574589</v>
      </c>
      <c r="J328">
        <v>0</v>
      </c>
      <c r="K328">
        <v>15814.239090574589</v>
      </c>
    </row>
    <row r="329" spans="1:11" x14ac:dyDescent="0.25">
      <c r="A329" t="s">
        <v>151</v>
      </c>
      <c r="B329" t="s">
        <v>42</v>
      </c>
      <c r="C329" t="s">
        <v>30</v>
      </c>
      <c r="D329">
        <v>2050</v>
      </c>
      <c r="E329" t="s">
        <v>120</v>
      </c>
      <c r="F329" t="s">
        <v>107</v>
      </c>
      <c r="G329" t="s">
        <v>30</v>
      </c>
      <c r="H329">
        <v>1951.8854685593769</v>
      </c>
      <c r="I329">
        <v>47252.048962920031</v>
      </c>
      <c r="J329">
        <v>0</v>
      </c>
      <c r="K329">
        <v>47252.048962920031</v>
      </c>
    </row>
    <row r="330" spans="1:11" x14ac:dyDescent="0.25">
      <c r="A330" t="s">
        <v>151</v>
      </c>
      <c r="B330" t="s">
        <v>42</v>
      </c>
      <c r="C330" t="s">
        <v>54</v>
      </c>
      <c r="D330">
        <v>2050</v>
      </c>
      <c r="E330" t="s">
        <v>120</v>
      </c>
      <c r="F330" t="s">
        <v>107</v>
      </c>
      <c r="G330" t="s">
        <v>54</v>
      </c>
      <c r="H330">
        <v>4546.0505523528727</v>
      </c>
      <c r="I330">
        <v>210548.63504470373</v>
      </c>
      <c r="J330">
        <v>0</v>
      </c>
      <c r="K330">
        <v>210548.63504470373</v>
      </c>
    </row>
    <row r="331" spans="1:11" x14ac:dyDescent="0.25">
      <c r="A331" t="s">
        <v>151</v>
      </c>
      <c r="B331" t="s">
        <v>42</v>
      </c>
      <c r="C331" t="s">
        <v>53</v>
      </c>
      <c r="D331">
        <v>2050</v>
      </c>
      <c r="E331" t="s">
        <v>120</v>
      </c>
      <c r="F331" t="s">
        <v>107</v>
      </c>
      <c r="G331" t="s">
        <v>53</v>
      </c>
      <c r="H331">
        <v>6485.6352589038734</v>
      </c>
      <c r="I331">
        <v>239600.76906026347</v>
      </c>
      <c r="J331">
        <v>0</v>
      </c>
      <c r="K331">
        <v>239600.76906026347</v>
      </c>
    </row>
    <row r="332" spans="1:11" x14ac:dyDescent="0.25">
      <c r="A332" t="s">
        <v>151</v>
      </c>
      <c r="B332" t="s">
        <v>42</v>
      </c>
      <c r="C332" t="s">
        <v>40</v>
      </c>
      <c r="D332">
        <v>2050</v>
      </c>
      <c r="E332" t="s">
        <v>120</v>
      </c>
      <c r="F332" t="s">
        <v>107</v>
      </c>
      <c r="G332" t="s">
        <v>40</v>
      </c>
      <c r="H332">
        <v>180.96769853131627</v>
      </c>
      <c r="I332">
        <v>875.75698350259881</v>
      </c>
      <c r="J332">
        <v>0</v>
      </c>
      <c r="K332">
        <v>875.75698350259881</v>
      </c>
    </row>
    <row r="333" spans="1:11" x14ac:dyDescent="0.25">
      <c r="A333" t="s">
        <v>151</v>
      </c>
      <c r="B333" t="s">
        <v>42</v>
      </c>
      <c r="C333" t="s">
        <v>79</v>
      </c>
      <c r="D333">
        <v>2050</v>
      </c>
      <c r="E333" t="s">
        <v>120</v>
      </c>
      <c r="F333" t="s">
        <v>107</v>
      </c>
      <c r="G333" t="s">
        <v>79</v>
      </c>
      <c r="H333">
        <v>2493.0782097246743</v>
      </c>
      <c r="I333">
        <v>42341.661974114584</v>
      </c>
      <c r="J333">
        <v>0</v>
      </c>
      <c r="K333">
        <v>42341.661974114584</v>
      </c>
    </row>
    <row r="334" spans="1:11" x14ac:dyDescent="0.25">
      <c r="A334" t="s">
        <v>151</v>
      </c>
      <c r="B334" t="s">
        <v>42</v>
      </c>
      <c r="C334" t="s">
        <v>74</v>
      </c>
      <c r="D334">
        <v>2050</v>
      </c>
      <c r="E334" t="s">
        <v>120</v>
      </c>
      <c r="F334" t="s">
        <v>107</v>
      </c>
      <c r="G334" t="s">
        <v>51</v>
      </c>
      <c r="H334">
        <v>3600.7668453712117</v>
      </c>
      <c r="I334">
        <v>29326.987966118992</v>
      </c>
      <c r="J334">
        <v>8497.0896017069826</v>
      </c>
      <c r="K334">
        <v>8497.0896017069826</v>
      </c>
    </row>
    <row r="335" spans="1:11" x14ac:dyDescent="0.25">
      <c r="A335" t="s">
        <v>151</v>
      </c>
      <c r="B335" t="s">
        <v>42</v>
      </c>
      <c r="C335" t="s">
        <v>77</v>
      </c>
      <c r="D335">
        <v>2050</v>
      </c>
      <c r="E335" t="s">
        <v>120</v>
      </c>
      <c r="F335" t="s">
        <v>107</v>
      </c>
      <c r="G335" t="s">
        <v>77</v>
      </c>
      <c r="H335">
        <v>676.28607707761751</v>
      </c>
      <c r="I335">
        <v>19274.153196712097</v>
      </c>
      <c r="J335">
        <v>0</v>
      </c>
      <c r="K335">
        <v>19274.153196712097</v>
      </c>
    </row>
    <row r="336" spans="1:11" x14ac:dyDescent="0.25">
      <c r="A336" t="s">
        <v>151</v>
      </c>
      <c r="B336" t="s">
        <v>42</v>
      </c>
      <c r="C336" t="s">
        <v>64</v>
      </c>
      <c r="D336">
        <v>2050</v>
      </c>
      <c r="E336" t="s">
        <v>120</v>
      </c>
      <c r="F336" t="s">
        <v>107</v>
      </c>
      <c r="G336" t="s">
        <v>64</v>
      </c>
      <c r="H336">
        <v>260.06167809824814</v>
      </c>
      <c r="I336">
        <v>3615.4916223414984</v>
      </c>
      <c r="J336">
        <v>0</v>
      </c>
      <c r="K336">
        <v>3615.4916223414984</v>
      </c>
    </row>
    <row r="337" spans="1:11" x14ac:dyDescent="0.25">
      <c r="A337" t="s">
        <v>151</v>
      </c>
      <c r="B337" t="s">
        <v>42</v>
      </c>
      <c r="C337" t="s">
        <v>119</v>
      </c>
      <c r="D337">
        <v>2050</v>
      </c>
      <c r="E337" t="s">
        <v>120</v>
      </c>
      <c r="F337" t="s">
        <v>107</v>
      </c>
      <c r="G337" t="s">
        <v>52</v>
      </c>
      <c r="H337">
        <v>0</v>
      </c>
      <c r="I337">
        <v>0</v>
      </c>
      <c r="J337">
        <v>0</v>
      </c>
      <c r="K337">
        <v>0</v>
      </c>
    </row>
    <row r="338" spans="1:11" x14ac:dyDescent="0.25">
      <c r="A338" t="s">
        <v>151</v>
      </c>
      <c r="B338" t="s">
        <v>42</v>
      </c>
      <c r="C338" t="s">
        <v>28</v>
      </c>
      <c r="D338">
        <v>2019</v>
      </c>
      <c r="E338" t="s">
        <v>118</v>
      </c>
      <c r="F338" t="s">
        <v>108</v>
      </c>
      <c r="G338" t="s">
        <v>51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151</v>
      </c>
      <c r="B339" t="s">
        <v>42</v>
      </c>
      <c r="C339" t="s">
        <v>33</v>
      </c>
      <c r="D339">
        <v>2019</v>
      </c>
      <c r="E339" t="s">
        <v>118</v>
      </c>
      <c r="F339" t="s">
        <v>108</v>
      </c>
      <c r="G339" t="s">
        <v>51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151</v>
      </c>
      <c r="B340" t="s">
        <v>42</v>
      </c>
      <c r="C340" t="s">
        <v>71</v>
      </c>
      <c r="D340">
        <v>2019</v>
      </c>
      <c r="E340" t="s">
        <v>118</v>
      </c>
      <c r="F340" t="s">
        <v>108</v>
      </c>
      <c r="G340" t="s">
        <v>51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151</v>
      </c>
      <c r="B341" t="s">
        <v>42</v>
      </c>
      <c r="C341" t="s">
        <v>52</v>
      </c>
      <c r="D341">
        <v>2019</v>
      </c>
      <c r="E341" t="s">
        <v>118</v>
      </c>
      <c r="F341" t="s">
        <v>108</v>
      </c>
      <c r="G341" t="s">
        <v>52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151</v>
      </c>
      <c r="B342" t="s">
        <v>42</v>
      </c>
      <c r="C342" t="s">
        <v>29</v>
      </c>
      <c r="D342">
        <v>2019</v>
      </c>
      <c r="E342" t="s">
        <v>118</v>
      </c>
      <c r="F342" t="s">
        <v>108</v>
      </c>
      <c r="G342" t="s">
        <v>29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151</v>
      </c>
      <c r="B343" t="s">
        <v>42</v>
      </c>
      <c r="C343" t="s">
        <v>30</v>
      </c>
      <c r="D343">
        <v>2019</v>
      </c>
      <c r="E343" t="s">
        <v>118</v>
      </c>
      <c r="F343" t="s">
        <v>108</v>
      </c>
      <c r="G343" t="s">
        <v>30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151</v>
      </c>
      <c r="B344" t="s">
        <v>42</v>
      </c>
      <c r="C344" t="s">
        <v>54</v>
      </c>
      <c r="D344">
        <v>2019</v>
      </c>
      <c r="E344" t="s">
        <v>118</v>
      </c>
      <c r="F344" t="s">
        <v>108</v>
      </c>
      <c r="G344" t="s">
        <v>54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151</v>
      </c>
      <c r="B345" t="s">
        <v>42</v>
      </c>
      <c r="C345" t="s">
        <v>53</v>
      </c>
      <c r="D345">
        <v>2019</v>
      </c>
      <c r="E345" t="s">
        <v>118</v>
      </c>
      <c r="F345" t="s">
        <v>108</v>
      </c>
      <c r="G345" t="s">
        <v>53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151</v>
      </c>
      <c r="B346" t="s">
        <v>42</v>
      </c>
      <c r="C346" t="s">
        <v>40</v>
      </c>
      <c r="D346">
        <v>2019</v>
      </c>
      <c r="E346" t="s">
        <v>118</v>
      </c>
      <c r="F346" t="s">
        <v>108</v>
      </c>
      <c r="G346" t="s">
        <v>40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151</v>
      </c>
      <c r="B347" t="s">
        <v>42</v>
      </c>
      <c r="C347" t="s">
        <v>79</v>
      </c>
      <c r="D347">
        <v>2019</v>
      </c>
      <c r="E347" t="s">
        <v>118</v>
      </c>
      <c r="F347" t="s">
        <v>108</v>
      </c>
      <c r="G347" t="s">
        <v>79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151</v>
      </c>
      <c r="B348" t="s">
        <v>42</v>
      </c>
      <c r="C348" t="s">
        <v>74</v>
      </c>
      <c r="D348">
        <v>2019</v>
      </c>
      <c r="E348" t="s">
        <v>118</v>
      </c>
      <c r="F348" t="s">
        <v>108</v>
      </c>
      <c r="G348" t="s">
        <v>51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151</v>
      </c>
      <c r="B349" t="s">
        <v>42</v>
      </c>
      <c r="C349" t="s">
        <v>77</v>
      </c>
      <c r="D349">
        <v>2019</v>
      </c>
      <c r="E349" t="s">
        <v>118</v>
      </c>
      <c r="F349" t="s">
        <v>108</v>
      </c>
      <c r="G349" t="s">
        <v>77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151</v>
      </c>
      <c r="B350" t="s">
        <v>42</v>
      </c>
      <c r="C350" t="s">
        <v>64</v>
      </c>
      <c r="D350">
        <v>2019</v>
      </c>
      <c r="E350" t="s">
        <v>118</v>
      </c>
      <c r="F350" t="s">
        <v>108</v>
      </c>
      <c r="G350" t="s">
        <v>64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151</v>
      </c>
      <c r="B351" t="s">
        <v>42</v>
      </c>
      <c r="C351" t="s">
        <v>119</v>
      </c>
      <c r="D351">
        <v>2019</v>
      </c>
      <c r="E351" t="s">
        <v>118</v>
      </c>
      <c r="F351" t="s">
        <v>108</v>
      </c>
      <c r="G351" t="s">
        <v>52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151</v>
      </c>
      <c r="B352" t="s">
        <v>42</v>
      </c>
      <c r="C352" t="s">
        <v>28</v>
      </c>
      <c r="D352">
        <v>2030</v>
      </c>
      <c r="E352" t="s">
        <v>118</v>
      </c>
      <c r="F352" t="s">
        <v>108</v>
      </c>
      <c r="G352" t="s">
        <v>51</v>
      </c>
      <c r="H352">
        <v>2543.5912283773305</v>
      </c>
      <c r="I352">
        <v>21396.689413110103</v>
      </c>
      <c r="J352">
        <v>10073.561375692239</v>
      </c>
      <c r="K352">
        <v>10073.561375692239</v>
      </c>
    </row>
    <row r="353" spans="1:11" x14ac:dyDescent="0.25">
      <c r="A353" t="s">
        <v>151</v>
      </c>
      <c r="B353" t="s">
        <v>42</v>
      </c>
      <c r="C353" t="s">
        <v>33</v>
      </c>
      <c r="D353">
        <v>2030</v>
      </c>
      <c r="E353" t="s">
        <v>118</v>
      </c>
      <c r="F353" t="s">
        <v>108</v>
      </c>
      <c r="G353" t="s">
        <v>51</v>
      </c>
      <c r="H353">
        <v>68.782772699511852</v>
      </c>
      <c r="I353">
        <v>318.6018031441389</v>
      </c>
      <c r="J353">
        <v>136.43222540980841</v>
      </c>
      <c r="K353">
        <v>136.43222540980841</v>
      </c>
    </row>
    <row r="354" spans="1:11" x14ac:dyDescent="0.25">
      <c r="A354" t="s">
        <v>151</v>
      </c>
      <c r="B354" t="s">
        <v>42</v>
      </c>
      <c r="C354" t="s">
        <v>71</v>
      </c>
      <c r="D354">
        <v>2030</v>
      </c>
      <c r="E354" t="s">
        <v>118</v>
      </c>
      <c r="F354" t="s">
        <v>108</v>
      </c>
      <c r="G354" t="s">
        <v>51</v>
      </c>
      <c r="H354">
        <v>277.82436371988916</v>
      </c>
      <c r="I354">
        <v>1466.9126404410149</v>
      </c>
      <c r="J354">
        <v>1130.1094981957581</v>
      </c>
      <c r="K354">
        <v>1130.1094981957581</v>
      </c>
    </row>
    <row r="355" spans="1:11" x14ac:dyDescent="0.25">
      <c r="A355" t="s">
        <v>151</v>
      </c>
      <c r="B355" t="s">
        <v>42</v>
      </c>
      <c r="C355" t="s">
        <v>52</v>
      </c>
      <c r="D355">
        <v>2030</v>
      </c>
      <c r="E355" t="s">
        <v>118</v>
      </c>
      <c r="F355" t="s">
        <v>108</v>
      </c>
      <c r="G355" t="s">
        <v>52</v>
      </c>
      <c r="H355">
        <v>816.92003872404018</v>
      </c>
      <c r="I355">
        <v>48642.686785784252</v>
      </c>
      <c r="J355">
        <v>0</v>
      </c>
      <c r="K355">
        <v>48642.686785784252</v>
      </c>
    </row>
    <row r="356" spans="1:11" x14ac:dyDescent="0.25">
      <c r="A356" t="s">
        <v>151</v>
      </c>
      <c r="B356" t="s">
        <v>42</v>
      </c>
      <c r="C356" t="s">
        <v>29</v>
      </c>
      <c r="D356">
        <v>2030</v>
      </c>
      <c r="E356" t="s">
        <v>118</v>
      </c>
      <c r="F356" t="s">
        <v>108</v>
      </c>
      <c r="G356" t="s">
        <v>29</v>
      </c>
      <c r="H356">
        <v>15.47158083370352</v>
      </c>
      <c r="I356">
        <v>385.24236275921766</v>
      </c>
      <c r="J356">
        <v>0</v>
      </c>
      <c r="K356">
        <v>385.24236275921766</v>
      </c>
    </row>
    <row r="357" spans="1:11" x14ac:dyDescent="0.25">
      <c r="A357" t="s">
        <v>151</v>
      </c>
      <c r="B357" t="s">
        <v>42</v>
      </c>
      <c r="C357" t="s">
        <v>30</v>
      </c>
      <c r="D357">
        <v>2030</v>
      </c>
      <c r="E357" t="s">
        <v>118</v>
      </c>
      <c r="F357" t="s">
        <v>108</v>
      </c>
      <c r="G357" t="s">
        <v>30</v>
      </c>
      <c r="H357">
        <v>26.303103413603303</v>
      </c>
      <c r="I357">
        <v>1340.5397530221824</v>
      </c>
      <c r="J357">
        <v>0</v>
      </c>
      <c r="K357">
        <v>1340.5397530221824</v>
      </c>
    </row>
    <row r="358" spans="1:11" x14ac:dyDescent="0.25">
      <c r="A358" t="s">
        <v>151</v>
      </c>
      <c r="B358" t="s">
        <v>42</v>
      </c>
      <c r="C358" t="s">
        <v>54</v>
      </c>
      <c r="D358">
        <v>2030</v>
      </c>
      <c r="E358" t="s">
        <v>118</v>
      </c>
      <c r="F358" t="s">
        <v>108</v>
      </c>
      <c r="G358" t="s">
        <v>54</v>
      </c>
      <c r="H358">
        <v>73.485337039665154</v>
      </c>
      <c r="I358">
        <v>7165.1494001899164</v>
      </c>
      <c r="J358">
        <v>0</v>
      </c>
      <c r="K358">
        <v>7165.1494001899164</v>
      </c>
    </row>
    <row r="359" spans="1:11" x14ac:dyDescent="0.25">
      <c r="A359" t="s">
        <v>151</v>
      </c>
      <c r="B359" t="s">
        <v>42</v>
      </c>
      <c r="C359" t="s">
        <v>53</v>
      </c>
      <c r="D359">
        <v>2030</v>
      </c>
      <c r="E359" t="s">
        <v>118</v>
      </c>
      <c r="F359" t="s">
        <v>108</v>
      </c>
      <c r="G359" t="s">
        <v>53</v>
      </c>
      <c r="H359">
        <v>78.346709324351167</v>
      </c>
      <c r="I359">
        <v>4184.6544384322442</v>
      </c>
      <c r="J359">
        <v>0</v>
      </c>
      <c r="K359">
        <v>4184.6544384322442</v>
      </c>
    </row>
    <row r="360" spans="1:11" x14ac:dyDescent="0.25">
      <c r="A360" t="s">
        <v>151</v>
      </c>
      <c r="B360" t="s">
        <v>42</v>
      </c>
      <c r="C360" t="s">
        <v>40</v>
      </c>
      <c r="D360">
        <v>2030</v>
      </c>
      <c r="E360" t="s">
        <v>118</v>
      </c>
      <c r="F360" t="s">
        <v>108</v>
      </c>
      <c r="G360" t="s">
        <v>40</v>
      </c>
      <c r="H360">
        <v>16.900995738263163</v>
      </c>
      <c r="I360">
        <v>172.18734458142512</v>
      </c>
      <c r="J360">
        <v>0</v>
      </c>
      <c r="K360">
        <v>172.18734458142512</v>
      </c>
    </row>
    <row r="361" spans="1:11" x14ac:dyDescent="0.25">
      <c r="A361" t="s">
        <v>151</v>
      </c>
      <c r="B361" t="s">
        <v>42</v>
      </c>
      <c r="C361" t="s">
        <v>79</v>
      </c>
      <c r="D361">
        <v>2030</v>
      </c>
      <c r="E361" t="s">
        <v>118</v>
      </c>
      <c r="F361" t="s">
        <v>108</v>
      </c>
      <c r="G361" t="s">
        <v>79</v>
      </c>
      <c r="H361">
        <v>120.68130675187054</v>
      </c>
      <c r="I361">
        <v>4314.976078167404</v>
      </c>
      <c r="J361">
        <v>0</v>
      </c>
      <c r="K361">
        <v>4314.976078167404</v>
      </c>
    </row>
    <row r="362" spans="1:11" x14ac:dyDescent="0.25">
      <c r="A362" t="s">
        <v>151</v>
      </c>
      <c r="B362" t="s">
        <v>42</v>
      </c>
      <c r="C362" t="s">
        <v>74</v>
      </c>
      <c r="D362">
        <v>2030</v>
      </c>
      <c r="E362" t="s">
        <v>118</v>
      </c>
      <c r="F362" t="s">
        <v>108</v>
      </c>
      <c r="G362" t="s">
        <v>51</v>
      </c>
      <c r="H362">
        <v>876.14056409986233</v>
      </c>
      <c r="I362">
        <v>15022.860631400607</v>
      </c>
      <c r="J362">
        <v>3599.8863497735142</v>
      </c>
      <c r="K362">
        <v>3599.8863497735142</v>
      </c>
    </row>
    <row r="363" spans="1:11" x14ac:dyDescent="0.25">
      <c r="A363" t="s">
        <v>151</v>
      </c>
      <c r="B363" t="s">
        <v>42</v>
      </c>
      <c r="C363" t="s">
        <v>77</v>
      </c>
      <c r="D363">
        <v>2030</v>
      </c>
      <c r="E363" t="s">
        <v>118</v>
      </c>
      <c r="F363" t="s">
        <v>108</v>
      </c>
      <c r="G363" t="s">
        <v>77</v>
      </c>
      <c r="H363">
        <v>26.483764144438243</v>
      </c>
      <c r="I363">
        <v>1589.0258486662945</v>
      </c>
      <c r="J363">
        <v>0</v>
      </c>
      <c r="K363">
        <v>1589.0258486662945</v>
      </c>
    </row>
    <row r="364" spans="1:11" x14ac:dyDescent="0.25">
      <c r="A364" t="s">
        <v>151</v>
      </c>
      <c r="B364" t="s">
        <v>42</v>
      </c>
      <c r="C364" t="s">
        <v>64</v>
      </c>
      <c r="D364">
        <v>2030</v>
      </c>
      <c r="E364" t="s">
        <v>118</v>
      </c>
      <c r="F364" t="s">
        <v>108</v>
      </c>
      <c r="G364" t="s">
        <v>64</v>
      </c>
      <c r="H364">
        <v>56.208438932954692</v>
      </c>
      <c r="I364">
        <v>1645.1250419401372</v>
      </c>
      <c r="J364">
        <v>0</v>
      </c>
      <c r="K364">
        <v>1645.1250419401372</v>
      </c>
    </row>
    <row r="365" spans="1:11" x14ac:dyDescent="0.25">
      <c r="A365" t="s">
        <v>151</v>
      </c>
      <c r="B365" t="s">
        <v>42</v>
      </c>
      <c r="C365" t="s">
        <v>119</v>
      </c>
      <c r="D365">
        <v>2030</v>
      </c>
      <c r="E365" t="s">
        <v>118</v>
      </c>
      <c r="F365" t="s">
        <v>108</v>
      </c>
      <c r="G365" t="s">
        <v>52</v>
      </c>
      <c r="H365">
        <v>1629.0025287440153</v>
      </c>
      <c r="I365">
        <v>26956.733845655966</v>
      </c>
      <c r="J365">
        <v>0</v>
      </c>
      <c r="K365">
        <v>26956.733845655966</v>
      </c>
    </row>
    <row r="366" spans="1:11" x14ac:dyDescent="0.25">
      <c r="A366" t="s">
        <v>151</v>
      </c>
      <c r="B366" t="s">
        <v>42</v>
      </c>
      <c r="C366" t="s">
        <v>28</v>
      </c>
      <c r="D366">
        <v>2050</v>
      </c>
      <c r="E366" t="s">
        <v>118</v>
      </c>
      <c r="F366" t="s">
        <v>108</v>
      </c>
      <c r="G366" t="s">
        <v>28</v>
      </c>
      <c r="H366">
        <v>0</v>
      </c>
      <c r="I366">
        <v>0</v>
      </c>
      <c r="J366">
        <v>0</v>
      </c>
      <c r="K366">
        <v>0</v>
      </c>
    </row>
    <row r="367" spans="1:11" x14ac:dyDescent="0.25">
      <c r="A367" t="s">
        <v>151</v>
      </c>
      <c r="B367" t="s">
        <v>42</v>
      </c>
      <c r="C367" t="s">
        <v>33</v>
      </c>
      <c r="D367">
        <v>2050</v>
      </c>
      <c r="E367" t="s">
        <v>118</v>
      </c>
      <c r="F367" t="s">
        <v>108</v>
      </c>
      <c r="G367" t="s">
        <v>33</v>
      </c>
      <c r="H367">
        <v>0</v>
      </c>
      <c r="I367">
        <v>0</v>
      </c>
      <c r="J367">
        <v>0</v>
      </c>
      <c r="K367">
        <v>0</v>
      </c>
    </row>
    <row r="368" spans="1:11" x14ac:dyDescent="0.25">
      <c r="A368" t="s">
        <v>151</v>
      </c>
      <c r="B368" t="s">
        <v>42</v>
      </c>
      <c r="C368" t="s">
        <v>71</v>
      </c>
      <c r="D368">
        <v>2050</v>
      </c>
      <c r="E368" t="s">
        <v>118</v>
      </c>
      <c r="F368" t="s">
        <v>108</v>
      </c>
      <c r="G368" t="s">
        <v>71</v>
      </c>
      <c r="H368">
        <v>0</v>
      </c>
      <c r="I368">
        <v>0</v>
      </c>
      <c r="J368">
        <v>0</v>
      </c>
      <c r="K368">
        <v>0</v>
      </c>
    </row>
    <row r="369" spans="1:11" x14ac:dyDescent="0.25">
      <c r="A369" t="s">
        <v>151</v>
      </c>
      <c r="B369" t="s">
        <v>42</v>
      </c>
      <c r="C369" t="s">
        <v>52</v>
      </c>
      <c r="D369">
        <v>2050</v>
      </c>
      <c r="E369" t="s">
        <v>118</v>
      </c>
      <c r="F369" t="s">
        <v>108</v>
      </c>
      <c r="G369" t="s">
        <v>52</v>
      </c>
      <c r="H369">
        <v>0</v>
      </c>
      <c r="I369">
        <v>0</v>
      </c>
      <c r="J369">
        <v>0</v>
      </c>
      <c r="K369">
        <v>0</v>
      </c>
    </row>
    <row r="370" spans="1:11" x14ac:dyDescent="0.25">
      <c r="A370" t="s">
        <v>151</v>
      </c>
      <c r="B370" t="s">
        <v>42</v>
      </c>
      <c r="C370" t="s">
        <v>29</v>
      </c>
      <c r="D370">
        <v>2050</v>
      </c>
      <c r="E370" t="s">
        <v>118</v>
      </c>
      <c r="F370" t="s">
        <v>108</v>
      </c>
      <c r="G370" t="s">
        <v>29</v>
      </c>
      <c r="H370">
        <v>0</v>
      </c>
      <c r="I370">
        <v>0</v>
      </c>
      <c r="J370">
        <v>0</v>
      </c>
      <c r="K370">
        <v>0</v>
      </c>
    </row>
    <row r="371" spans="1:11" x14ac:dyDescent="0.25">
      <c r="A371" t="s">
        <v>151</v>
      </c>
      <c r="B371" t="s">
        <v>42</v>
      </c>
      <c r="C371" t="s">
        <v>30</v>
      </c>
      <c r="D371">
        <v>2050</v>
      </c>
      <c r="E371" t="s">
        <v>118</v>
      </c>
      <c r="F371" t="s">
        <v>108</v>
      </c>
      <c r="G371" t="s">
        <v>30</v>
      </c>
      <c r="H371">
        <v>0</v>
      </c>
      <c r="I371">
        <v>0</v>
      </c>
      <c r="J371">
        <v>0</v>
      </c>
      <c r="K371">
        <v>0</v>
      </c>
    </row>
    <row r="372" spans="1:11" x14ac:dyDescent="0.25">
      <c r="A372" t="s">
        <v>151</v>
      </c>
      <c r="B372" t="s">
        <v>42</v>
      </c>
      <c r="C372" t="s">
        <v>54</v>
      </c>
      <c r="D372">
        <v>2050</v>
      </c>
      <c r="E372" t="s">
        <v>118</v>
      </c>
      <c r="F372" t="s">
        <v>108</v>
      </c>
      <c r="G372" t="s">
        <v>54</v>
      </c>
      <c r="H372">
        <v>0</v>
      </c>
      <c r="I372">
        <v>0</v>
      </c>
      <c r="J372">
        <v>0</v>
      </c>
      <c r="K372">
        <v>0</v>
      </c>
    </row>
    <row r="373" spans="1:11" x14ac:dyDescent="0.25">
      <c r="A373" t="s">
        <v>151</v>
      </c>
      <c r="B373" t="s">
        <v>42</v>
      </c>
      <c r="C373" t="s">
        <v>53</v>
      </c>
      <c r="D373">
        <v>2050</v>
      </c>
      <c r="E373" t="s">
        <v>118</v>
      </c>
      <c r="F373" t="s">
        <v>108</v>
      </c>
      <c r="G373" t="s">
        <v>53</v>
      </c>
      <c r="H373">
        <v>0</v>
      </c>
      <c r="I373">
        <v>0</v>
      </c>
      <c r="J373">
        <v>0</v>
      </c>
      <c r="K373">
        <v>0</v>
      </c>
    </row>
    <row r="374" spans="1:11" x14ac:dyDescent="0.25">
      <c r="A374" t="s">
        <v>151</v>
      </c>
      <c r="B374" t="s">
        <v>42</v>
      </c>
      <c r="C374" t="s">
        <v>40</v>
      </c>
      <c r="D374">
        <v>2050</v>
      </c>
      <c r="E374" t="s">
        <v>118</v>
      </c>
      <c r="F374" t="s">
        <v>108</v>
      </c>
      <c r="G374" t="s">
        <v>40</v>
      </c>
      <c r="H374">
        <v>0</v>
      </c>
      <c r="I374">
        <v>0</v>
      </c>
      <c r="J374">
        <v>0</v>
      </c>
      <c r="K374">
        <v>0</v>
      </c>
    </row>
    <row r="375" spans="1:11" x14ac:dyDescent="0.25">
      <c r="A375" t="s">
        <v>151</v>
      </c>
      <c r="B375" t="s">
        <v>42</v>
      </c>
      <c r="C375" t="s">
        <v>79</v>
      </c>
      <c r="D375">
        <v>2050</v>
      </c>
      <c r="E375" t="s">
        <v>118</v>
      </c>
      <c r="F375" t="s">
        <v>108</v>
      </c>
      <c r="G375" t="s">
        <v>79</v>
      </c>
      <c r="H375">
        <v>0</v>
      </c>
      <c r="I375">
        <v>0</v>
      </c>
      <c r="J375">
        <v>0</v>
      </c>
      <c r="K375">
        <v>0</v>
      </c>
    </row>
    <row r="376" spans="1:11" x14ac:dyDescent="0.25">
      <c r="A376" t="s">
        <v>151</v>
      </c>
      <c r="B376" t="s">
        <v>42</v>
      </c>
      <c r="C376" t="s">
        <v>74</v>
      </c>
      <c r="D376">
        <v>2050</v>
      </c>
      <c r="E376" t="s">
        <v>118</v>
      </c>
      <c r="F376" t="s">
        <v>108</v>
      </c>
      <c r="G376" t="s">
        <v>74</v>
      </c>
      <c r="H376">
        <v>0</v>
      </c>
      <c r="I376">
        <v>0</v>
      </c>
      <c r="J376">
        <v>0</v>
      </c>
      <c r="K376">
        <v>0</v>
      </c>
    </row>
    <row r="377" spans="1:11" x14ac:dyDescent="0.25">
      <c r="A377" t="s">
        <v>151</v>
      </c>
      <c r="B377" t="s">
        <v>42</v>
      </c>
      <c r="C377" t="s">
        <v>77</v>
      </c>
      <c r="D377">
        <v>2050</v>
      </c>
      <c r="E377" t="s">
        <v>118</v>
      </c>
      <c r="F377" t="s">
        <v>108</v>
      </c>
      <c r="G377" t="s">
        <v>77</v>
      </c>
      <c r="H377">
        <v>0</v>
      </c>
      <c r="I377">
        <v>0</v>
      </c>
      <c r="J377">
        <v>0</v>
      </c>
      <c r="K377">
        <v>0</v>
      </c>
    </row>
    <row r="378" spans="1:11" x14ac:dyDescent="0.25">
      <c r="A378" t="s">
        <v>151</v>
      </c>
      <c r="B378" t="s">
        <v>42</v>
      </c>
      <c r="C378" t="s">
        <v>64</v>
      </c>
      <c r="D378">
        <v>2050</v>
      </c>
      <c r="E378" t="s">
        <v>118</v>
      </c>
      <c r="F378" t="s">
        <v>108</v>
      </c>
      <c r="G378" t="s">
        <v>64</v>
      </c>
      <c r="H378">
        <v>0</v>
      </c>
      <c r="I378">
        <v>0</v>
      </c>
      <c r="J378">
        <v>0</v>
      </c>
      <c r="K378">
        <v>0</v>
      </c>
    </row>
    <row r="379" spans="1:11" x14ac:dyDescent="0.25">
      <c r="A379" t="s">
        <v>151</v>
      </c>
      <c r="B379" t="s">
        <v>42</v>
      </c>
      <c r="C379" t="s">
        <v>119</v>
      </c>
      <c r="D379">
        <v>2050</v>
      </c>
      <c r="E379" t="s">
        <v>118</v>
      </c>
      <c r="F379" t="s">
        <v>108</v>
      </c>
      <c r="G379" t="s">
        <v>52</v>
      </c>
      <c r="H379">
        <v>0</v>
      </c>
      <c r="I379">
        <v>0</v>
      </c>
      <c r="J379">
        <v>0</v>
      </c>
      <c r="K379">
        <v>0</v>
      </c>
    </row>
    <row r="380" spans="1:11" x14ac:dyDescent="0.25">
      <c r="A380" t="s">
        <v>151</v>
      </c>
      <c r="B380" t="s">
        <v>42</v>
      </c>
      <c r="C380" t="s">
        <v>28</v>
      </c>
      <c r="D380">
        <v>2019</v>
      </c>
      <c r="E380" t="s">
        <v>120</v>
      </c>
      <c r="F380" t="s">
        <v>108</v>
      </c>
      <c r="G380" t="s">
        <v>51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151</v>
      </c>
      <c r="B381" t="s">
        <v>42</v>
      </c>
      <c r="C381" t="s">
        <v>33</v>
      </c>
      <c r="D381">
        <v>2019</v>
      </c>
      <c r="E381" t="s">
        <v>120</v>
      </c>
      <c r="F381" t="s">
        <v>108</v>
      </c>
      <c r="G381" t="s">
        <v>51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151</v>
      </c>
      <c r="B382" t="s">
        <v>42</v>
      </c>
      <c r="C382" t="s">
        <v>71</v>
      </c>
      <c r="D382">
        <v>2019</v>
      </c>
      <c r="E382" t="s">
        <v>120</v>
      </c>
      <c r="F382" t="s">
        <v>108</v>
      </c>
      <c r="G382" t="s">
        <v>51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151</v>
      </c>
      <c r="B383" t="s">
        <v>42</v>
      </c>
      <c r="C383" t="s">
        <v>52</v>
      </c>
      <c r="D383">
        <v>2019</v>
      </c>
      <c r="E383" t="s">
        <v>120</v>
      </c>
      <c r="F383" t="s">
        <v>108</v>
      </c>
      <c r="G383" t="s">
        <v>52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151</v>
      </c>
      <c r="B384" t="s">
        <v>42</v>
      </c>
      <c r="C384" t="s">
        <v>29</v>
      </c>
      <c r="D384">
        <v>2019</v>
      </c>
      <c r="E384" t="s">
        <v>120</v>
      </c>
      <c r="F384" t="s">
        <v>108</v>
      </c>
      <c r="G384" t="s">
        <v>29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151</v>
      </c>
      <c r="B385" t="s">
        <v>42</v>
      </c>
      <c r="C385" t="s">
        <v>30</v>
      </c>
      <c r="D385">
        <v>2019</v>
      </c>
      <c r="E385" t="s">
        <v>120</v>
      </c>
      <c r="F385" t="s">
        <v>108</v>
      </c>
      <c r="G385" t="s">
        <v>30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151</v>
      </c>
      <c r="B386" t="s">
        <v>42</v>
      </c>
      <c r="C386" t="s">
        <v>54</v>
      </c>
      <c r="D386">
        <v>2019</v>
      </c>
      <c r="E386" t="s">
        <v>120</v>
      </c>
      <c r="F386" t="s">
        <v>108</v>
      </c>
      <c r="G386" t="s">
        <v>54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151</v>
      </c>
      <c r="B387" t="s">
        <v>42</v>
      </c>
      <c r="C387" t="s">
        <v>53</v>
      </c>
      <c r="D387">
        <v>2019</v>
      </c>
      <c r="E387" t="s">
        <v>120</v>
      </c>
      <c r="F387" t="s">
        <v>108</v>
      </c>
      <c r="G387" t="s">
        <v>53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151</v>
      </c>
      <c r="B388" t="s">
        <v>42</v>
      </c>
      <c r="C388" t="s">
        <v>40</v>
      </c>
      <c r="D388">
        <v>2019</v>
      </c>
      <c r="E388" t="s">
        <v>120</v>
      </c>
      <c r="F388" t="s">
        <v>108</v>
      </c>
      <c r="G388" t="s">
        <v>40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151</v>
      </c>
      <c r="B389" t="s">
        <v>42</v>
      </c>
      <c r="C389" t="s">
        <v>79</v>
      </c>
      <c r="D389">
        <v>2019</v>
      </c>
      <c r="E389" t="s">
        <v>120</v>
      </c>
      <c r="F389" t="s">
        <v>108</v>
      </c>
      <c r="G389" t="s">
        <v>79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151</v>
      </c>
      <c r="B390" t="s">
        <v>42</v>
      </c>
      <c r="C390" t="s">
        <v>74</v>
      </c>
      <c r="D390">
        <v>2019</v>
      </c>
      <c r="E390" t="s">
        <v>120</v>
      </c>
      <c r="F390" t="s">
        <v>108</v>
      </c>
      <c r="G390" t="s">
        <v>51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151</v>
      </c>
      <c r="B391" t="s">
        <v>42</v>
      </c>
      <c r="C391" t="s">
        <v>77</v>
      </c>
      <c r="D391">
        <v>2019</v>
      </c>
      <c r="E391" t="s">
        <v>120</v>
      </c>
      <c r="F391" t="s">
        <v>108</v>
      </c>
      <c r="G391" t="s">
        <v>77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151</v>
      </c>
      <c r="B392" t="s">
        <v>42</v>
      </c>
      <c r="C392" t="s">
        <v>64</v>
      </c>
      <c r="D392">
        <v>2019</v>
      </c>
      <c r="E392" t="s">
        <v>120</v>
      </c>
      <c r="F392" t="s">
        <v>108</v>
      </c>
      <c r="G392" t="s">
        <v>64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151</v>
      </c>
      <c r="B393" t="s">
        <v>42</v>
      </c>
      <c r="C393" t="s">
        <v>119</v>
      </c>
      <c r="D393">
        <v>2019</v>
      </c>
      <c r="E393" t="s">
        <v>120</v>
      </c>
      <c r="F393" t="s">
        <v>108</v>
      </c>
      <c r="G393" t="s">
        <v>52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151</v>
      </c>
      <c r="B394" t="s">
        <v>42</v>
      </c>
      <c r="C394" t="s">
        <v>28</v>
      </c>
      <c r="D394">
        <v>2030</v>
      </c>
      <c r="E394" t="s">
        <v>120</v>
      </c>
      <c r="F394" t="s">
        <v>108</v>
      </c>
      <c r="G394" t="s">
        <v>51</v>
      </c>
      <c r="H394">
        <v>396.97666570050825</v>
      </c>
      <c r="I394">
        <v>2237.3763669546925</v>
      </c>
      <c r="J394">
        <v>1053.3567935622696</v>
      </c>
      <c r="K394">
        <v>1053.3567935622696</v>
      </c>
    </row>
    <row r="395" spans="1:11" x14ac:dyDescent="0.25">
      <c r="A395" t="s">
        <v>151</v>
      </c>
      <c r="B395" t="s">
        <v>42</v>
      </c>
      <c r="C395" t="s">
        <v>33</v>
      </c>
      <c r="D395">
        <v>2030</v>
      </c>
      <c r="E395" t="s">
        <v>120</v>
      </c>
      <c r="F395" t="s">
        <v>108</v>
      </c>
      <c r="G395" t="s">
        <v>51</v>
      </c>
      <c r="H395">
        <v>10.734883600501851</v>
      </c>
      <c r="I395">
        <v>28.342669077389008</v>
      </c>
      <c r="J395">
        <v>12.136947682410122</v>
      </c>
      <c r="K395">
        <v>12.136947682410122</v>
      </c>
    </row>
    <row r="396" spans="1:11" x14ac:dyDescent="0.25">
      <c r="A396" t="s">
        <v>151</v>
      </c>
      <c r="B396" t="s">
        <v>42</v>
      </c>
      <c r="C396" t="s">
        <v>71</v>
      </c>
      <c r="D396">
        <v>2030</v>
      </c>
      <c r="E396" t="s">
        <v>120</v>
      </c>
      <c r="F396" t="s">
        <v>108</v>
      </c>
      <c r="G396" t="s">
        <v>51</v>
      </c>
      <c r="H396">
        <v>43.359871794433573</v>
      </c>
      <c r="I396">
        <v>125.9170676910351</v>
      </c>
      <c r="J396">
        <v>97.006508949173465</v>
      </c>
      <c r="K396">
        <v>97.006508949173465</v>
      </c>
    </row>
    <row r="397" spans="1:11" x14ac:dyDescent="0.25">
      <c r="A397" t="s">
        <v>151</v>
      </c>
      <c r="B397" t="s">
        <v>42</v>
      </c>
      <c r="C397" t="s">
        <v>52</v>
      </c>
      <c r="D397">
        <v>2030</v>
      </c>
      <c r="E397" t="s">
        <v>120</v>
      </c>
      <c r="F397" t="s">
        <v>108</v>
      </c>
      <c r="G397" t="s">
        <v>52</v>
      </c>
      <c r="H397">
        <v>127.49619101473459</v>
      </c>
      <c r="I397">
        <v>5921.4738942694585</v>
      </c>
      <c r="J397">
        <v>0</v>
      </c>
      <c r="K397">
        <v>5921.4738942694585</v>
      </c>
    </row>
    <row r="398" spans="1:11" x14ac:dyDescent="0.25">
      <c r="A398" t="s">
        <v>151</v>
      </c>
      <c r="B398" t="s">
        <v>42</v>
      </c>
      <c r="C398" t="s">
        <v>29</v>
      </c>
      <c r="D398">
        <v>2030</v>
      </c>
      <c r="E398" t="s">
        <v>120</v>
      </c>
      <c r="F398" t="s">
        <v>108</v>
      </c>
      <c r="G398" t="s">
        <v>29</v>
      </c>
      <c r="H398">
        <v>2.4146397832947688</v>
      </c>
      <c r="I398">
        <v>34.270982444302653</v>
      </c>
      <c r="J398">
        <v>0</v>
      </c>
      <c r="K398">
        <v>34.270982444302653</v>
      </c>
    </row>
    <row r="399" spans="1:11" x14ac:dyDescent="0.25">
      <c r="A399" t="s">
        <v>151</v>
      </c>
      <c r="B399" t="s">
        <v>42</v>
      </c>
      <c r="C399" t="s">
        <v>30</v>
      </c>
      <c r="D399">
        <v>2030</v>
      </c>
      <c r="E399" t="s">
        <v>120</v>
      </c>
      <c r="F399" t="s">
        <v>108</v>
      </c>
      <c r="G399" t="s">
        <v>30</v>
      </c>
      <c r="H399">
        <v>4.1051086252444469</v>
      </c>
      <c r="I399">
        <v>119.25379652607738</v>
      </c>
      <c r="J399">
        <v>0</v>
      </c>
      <c r="K399">
        <v>119.25379652607738</v>
      </c>
    </row>
    <row r="400" spans="1:11" x14ac:dyDescent="0.25">
      <c r="A400" t="s">
        <v>151</v>
      </c>
      <c r="B400" t="s">
        <v>42</v>
      </c>
      <c r="C400" t="s">
        <v>54</v>
      </c>
      <c r="D400">
        <v>2030</v>
      </c>
      <c r="E400" t="s">
        <v>120</v>
      </c>
      <c r="F400" t="s">
        <v>108</v>
      </c>
      <c r="G400" t="s">
        <v>54</v>
      </c>
      <c r="H400">
        <v>11.468809826999765</v>
      </c>
      <c r="I400">
        <v>637.40837727701046</v>
      </c>
      <c r="J400">
        <v>0</v>
      </c>
      <c r="K400">
        <v>637.40837727701046</v>
      </c>
    </row>
    <row r="401" spans="1:11" x14ac:dyDescent="0.25">
      <c r="A401" t="s">
        <v>151</v>
      </c>
      <c r="B401" t="s">
        <v>42</v>
      </c>
      <c r="C401" t="s">
        <v>53</v>
      </c>
      <c r="D401">
        <v>2030</v>
      </c>
      <c r="E401" t="s">
        <v>120</v>
      </c>
      <c r="F401" t="s">
        <v>108</v>
      </c>
      <c r="G401" t="s">
        <v>53</v>
      </c>
      <c r="H401">
        <v>12.227521108424749</v>
      </c>
      <c r="I401">
        <v>542.06997667784162</v>
      </c>
      <c r="J401">
        <v>0</v>
      </c>
      <c r="K401">
        <v>542.06997667784162</v>
      </c>
    </row>
    <row r="402" spans="1:11" x14ac:dyDescent="0.25">
      <c r="A402" t="s">
        <v>151</v>
      </c>
      <c r="B402" t="s">
        <v>42</v>
      </c>
      <c r="C402" t="s">
        <v>40</v>
      </c>
      <c r="D402">
        <v>2030</v>
      </c>
      <c r="E402" t="s">
        <v>120</v>
      </c>
      <c r="F402" t="s">
        <v>108</v>
      </c>
      <c r="G402" t="s">
        <v>40</v>
      </c>
      <c r="H402">
        <v>2.6377276585728633</v>
      </c>
      <c r="I402">
        <v>15.31770654975799</v>
      </c>
      <c r="J402">
        <v>0</v>
      </c>
      <c r="K402">
        <v>15.31770654975799</v>
      </c>
    </row>
    <row r="403" spans="1:11" x14ac:dyDescent="0.25">
      <c r="A403" t="s">
        <v>151</v>
      </c>
      <c r="B403" t="s">
        <v>42</v>
      </c>
      <c r="C403" t="s">
        <v>79</v>
      </c>
      <c r="D403">
        <v>2030</v>
      </c>
      <c r="E403" t="s">
        <v>120</v>
      </c>
      <c r="F403" t="s">
        <v>108</v>
      </c>
      <c r="G403" t="s">
        <v>79</v>
      </c>
      <c r="H403">
        <v>18.834654810985576</v>
      </c>
      <c r="I403">
        <v>383.85827654911185</v>
      </c>
      <c r="J403">
        <v>0</v>
      </c>
      <c r="K403">
        <v>383.85827654911185</v>
      </c>
    </row>
    <row r="404" spans="1:11" x14ac:dyDescent="0.25">
      <c r="A404" t="s">
        <v>151</v>
      </c>
      <c r="B404" t="s">
        <v>42</v>
      </c>
      <c r="C404" t="s">
        <v>74</v>
      </c>
      <c r="D404">
        <v>2030</v>
      </c>
      <c r="E404" t="s">
        <v>120</v>
      </c>
      <c r="F404" t="s">
        <v>108</v>
      </c>
      <c r="G404" t="s">
        <v>51</v>
      </c>
      <c r="H404">
        <v>136.73870075546986</v>
      </c>
      <c r="I404">
        <v>1336.4267347818229</v>
      </c>
      <c r="J404">
        <v>320.24422498852255</v>
      </c>
      <c r="K404">
        <v>320.24422498852255</v>
      </c>
    </row>
    <row r="405" spans="1:11" x14ac:dyDescent="0.25">
      <c r="A405" t="s">
        <v>151</v>
      </c>
      <c r="B405" t="s">
        <v>42</v>
      </c>
      <c r="C405" t="s">
        <v>77</v>
      </c>
      <c r="D405">
        <v>2030</v>
      </c>
      <c r="E405" t="s">
        <v>120</v>
      </c>
      <c r="F405" t="s">
        <v>108</v>
      </c>
      <c r="G405" t="s">
        <v>77</v>
      </c>
      <c r="H405">
        <v>4.1333042306348711</v>
      </c>
      <c r="I405">
        <v>141.35900468771257</v>
      </c>
      <c r="J405">
        <v>0</v>
      </c>
      <c r="K405">
        <v>141.35900468771257</v>
      </c>
    </row>
    <row r="406" spans="1:11" x14ac:dyDescent="0.25">
      <c r="A406" t="s">
        <v>151</v>
      </c>
      <c r="B406" t="s">
        <v>42</v>
      </c>
      <c r="C406" t="s">
        <v>64</v>
      </c>
      <c r="D406">
        <v>2030</v>
      </c>
      <c r="E406" t="s">
        <v>120</v>
      </c>
      <c r="F406" t="s">
        <v>108</v>
      </c>
      <c r="G406" t="s">
        <v>64</v>
      </c>
      <c r="H406">
        <v>8.7724153247963965</v>
      </c>
      <c r="I406">
        <v>146.34956297953013</v>
      </c>
      <c r="J406">
        <v>0</v>
      </c>
      <c r="K406">
        <v>146.34956297953013</v>
      </c>
    </row>
    <row r="407" spans="1:11" x14ac:dyDescent="0.25">
      <c r="A407" t="s">
        <v>151</v>
      </c>
      <c r="B407" t="s">
        <v>42</v>
      </c>
      <c r="C407" t="s">
        <v>119</v>
      </c>
      <c r="D407">
        <v>2030</v>
      </c>
      <c r="E407" t="s">
        <v>120</v>
      </c>
      <c r="F407" t="s">
        <v>108</v>
      </c>
      <c r="G407" t="s">
        <v>52</v>
      </c>
      <c r="H407">
        <v>254.23738887912378</v>
      </c>
      <c r="I407">
        <v>4207.1203111717405</v>
      </c>
      <c r="J407">
        <v>0</v>
      </c>
      <c r="K407">
        <v>4207.1203111717405</v>
      </c>
    </row>
    <row r="408" spans="1:11" x14ac:dyDescent="0.25">
      <c r="A408" t="s">
        <v>151</v>
      </c>
      <c r="B408" t="s">
        <v>42</v>
      </c>
      <c r="C408" t="s">
        <v>28</v>
      </c>
      <c r="D408">
        <v>2050</v>
      </c>
      <c r="E408" t="s">
        <v>120</v>
      </c>
      <c r="F408" t="s">
        <v>108</v>
      </c>
      <c r="G408" t="s">
        <v>28</v>
      </c>
      <c r="H408">
        <v>0</v>
      </c>
      <c r="I408">
        <v>0</v>
      </c>
      <c r="J408">
        <v>0</v>
      </c>
      <c r="K408">
        <v>0</v>
      </c>
    </row>
    <row r="409" spans="1:11" x14ac:dyDescent="0.25">
      <c r="A409" t="s">
        <v>151</v>
      </c>
      <c r="B409" t="s">
        <v>42</v>
      </c>
      <c r="C409" t="s">
        <v>33</v>
      </c>
      <c r="D409">
        <v>2050</v>
      </c>
      <c r="E409" t="s">
        <v>120</v>
      </c>
      <c r="F409" t="s">
        <v>108</v>
      </c>
      <c r="G409" t="s">
        <v>33</v>
      </c>
      <c r="H409">
        <v>0</v>
      </c>
      <c r="I409">
        <v>0</v>
      </c>
      <c r="J409">
        <v>0</v>
      </c>
      <c r="K409">
        <v>0</v>
      </c>
    </row>
    <row r="410" spans="1:11" x14ac:dyDescent="0.25">
      <c r="A410" t="s">
        <v>151</v>
      </c>
      <c r="B410" t="s">
        <v>42</v>
      </c>
      <c r="C410" t="s">
        <v>71</v>
      </c>
      <c r="D410">
        <v>2050</v>
      </c>
      <c r="E410" t="s">
        <v>120</v>
      </c>
      <c r="F410" t="s">
        <v>108</v>
      </c>
      <c r="G410" t="s">
        <v>71</v>
      </c>
      <c r="H410">
        <v>0</v>
      </c>
      <c r="I410">
        <v>0</v>
      </c>
      <c r="J410">
        <v>0</v>
      </c>
      <c r="K410">
        <v>0</v>
      </c>
    </row>
    <row r="411" spans="1:11" x14ac:dyDescent="0.25">
      <c r="A411" t="s">
        <v>151</v>
      </c>
      <c r="B411" t="s">
        <v>42</v>
      </c>
      <c r="C411" t="s">
        <v>52</v>
      </c>
      <c r="D411">
        <v>2050</v>
      </c>
      <c r="E411" t="s">
        <v>120</v>
      </c>
      <c r="F411" t="s">
        <v>108</v>
      </c>
      <c r="G411" t="s">
        <v>52</v>
      </c>
      <c r="H411">
        <v>0</v>
      </c>
      <c r="I411">
        <v>0</v>
      </c>
      <c r="J411">
        <v>0</v>
      </c>
      <c r="K411">
        <v>0</v>
      </c>
    </row>
    <row r="412" spans="1:11" x14ac:dyDescent="0.25">
      <c r="A412" t="s">
        <v>151</v>
      </c>
      <c r="B412" t="s">
        <v>42</v>
      </c>
      <c r="C412" t="s">
        <v>29</v>
      </c>
      <c r="D412">
        <v>2050</v>
      </c>
      <c r="E412" t="s">
        <v>120</v>
      </c>
      <c r="F412" t="s">
        <v>108</v>
      </c>
      <c r="G412" t="s">
        <v>29</v>
      </c>
      <c r="H412">
        <v>0</v>
      </c>
      <c r="I412">
        <v>0</v>
      </c>
      <c r="J412">
        <v>0</v>
      </c>
      <c r="K412">
        <v>0</v>
      </c>
    </row>
    <row r="413" spans="1:11" x14ac:dyDescent="0.25">
      <c r="A413" t="s">
        <v>151</v>
      </c>
      <c r="B413" t="s">
        <v>42</v>
      </c>
      <c r="C413" t="s">
        <v>30</v>
      </c>
      <c r="D413">
        <v>2050</v>
      </c>
      <c r="E413" t="s">
        <v>120</v>
      </c>
      <c r="F413" t="s">
        <v>108</v>
      </c>
      <c r="G413" t="s">
        <v>30</v>
      </c>
      <c r="H413">
        <v>0</v>
      </c>
      <c r="I413">
        <v>0</v>
      </c>
      <c r="J413">
        <v>0</v>
      </c>
      <c r="K413">
        <v>0</v>
      </c>
    </row>
    <row r="414" spans="1:11" x14ac:dyDescent="0.25">
      <c r="A414" t="s">
        <v>151</v>
      </c>
      <c r="B414" t="s">
        <v>42</v>
      </c>
      <c r="C414" t="s">
        <v>54</v>
      </c>
      <c r="D414">
        <v>2050</v>
      </c>
      <c r="E414" t="s">
        <v>120</v>
      </c>
      <c r="F414" t="s">
        <v>108</v>
      </c>
      <c r="G414" t="s">
        <v>54</v>
      </c>
      <c r="H414">
        <v>0</v>
      </c>
      <c r="I414">
        <v>0</v>
      </c>
      <c r="J414">
        <v>0</v>
      </c>
      <c r="K414">
        <v>0</v>
      </c>
    </row>
    <row r="415" spans="1:11" x14ac:dyDescent="0.25">
      <c r="A415" t="s">
        <v>151</v>
      </c>
      <c r="B415" t="s">
        <v>42</v>
      </c>
      <c r="C415" t="s">
        <v>53</v>
      </c>
      <c r="D415">
        <v>2050</v>
      </c>
      <c r="E415" t="s">
        <v>120</v>
      </c>
      <c r="F415" t="s">
        <v>108</v>
      </c>
      <c r="G415" t="s">
        <v>53</v>
      </c>
      <c r="H415">
        <v>0</v>
      </c>
      <c r="I415">
        <v>0</v>
      </c>
      <c r="J415">
        <v>0</v>
      </c>
      <c r="K415">
        <v>0</v>
      </c>
    </row>
    <row r="416" spans="1:11" x14ac:dyDescent="0.25">
      <c r="A416" t="s">
        <v>151</v>
      </c>
      <c r="B416" t="s">
        <v>42</v>
      </c>
      <c r="C416" t="s">
        <v>40</v>
      </c>
      <c r="D416">
        <v>2050</v>
      </c>
      <c r="E416" t="s">
        <v>120</v>
      </c>
      <c r="F416" t="s">
        <v>108</v>
      </c>
      <c r="G416" t="s">
        <v>40</v>
      </c>
      <c r="H416">
        <v>0</v>
      </c>
      <c r="I416">
        <v>0</v>
      </c>
      <c r="J416">
        <v>0</v>
      </c>
      <c r="K416">
        <v>0</v>
      </c>
    </row>
    <row r="417" spans="1:11" x14ac:dyDescent="0.25">
      <c r="A417" t="s">
        <v>151</v>
      </c>
      <c r="B417" t="s">
        <v>42</v>
      </c>
      <c r="C417" t="s">
        <v>79</v>
      </c>
      <c r="D417">
        <v>2050</v>
      </c>
      <c r="E417" t="s">
        <v>120</v>
      </c>
      <c r="F417" t="s">
        <v>108</v>
      </c>
      <c r="G417" t="s">
        <v>79</v>
      </c>
      <c r="H417">
        <v>0</v>
      </c>
      <c r="I417">
        <v>0</v>
      </c>
      <c r="J417">
        <v>0</v>
      </c>
      <c r="K417">
        <v>0</v>
      </c>
    </row>
    <row r="418" spans="1:11" x14ac:dyDescent="0.25">
      <c r="A418" t="s">
        <v>151</v>
      </c>
      <c r="B418" t="s">
        <v>42</v>
      </c>
      <c r="C418" t="s">
        <v>74</v>
      </c>
      <c r="D418">
        <v>2050</v>
      </c>
      <c r="E418" t="s">
        <v>120</v>
      </c>
      <c r="F418" t="s">
        <v>108</v>
      </c>
      <c r="G418" t="s">
        <v>74</v>
      </c>
      <c r="H418">
        <v>0</v>
      </c>
      <c r="I418">
        <v>0</v>
      </c>
      <c r="J418">
        <v>0</v>
      </c>
      <c r="K418">
        <v>0</v>
      </c>
    </row>
    <row r="419" spans="1:11" x14ac:dyDescent="0.25">
      <c r="A419" t="s">
        <v>151</v>
      </c>
      <c r="B419" t="s">
        <v>42</v>
      </c>
      <c r="C419" t="s">
        <v>77</v>
      </c>
      <c r="D419">
        <v>2050</v>
      </c>
      <c r="E419" t="s">
        <v>120</v>
      </c>
      <c r="F419" t="s">
        <v>108</v>
      </c>
      <c r="G419" t="s">
        <v>77</v>
      </c>
      <c r="H419">
        <v>0</v>
      </c>
      <c r="I419">
        <v>0</v>
      </c>
      <c r="J419">
        <v>0</v>
      </c>
      <c r="K419">
        <v>0</v>
      </c>
    </row>
    <row r="420" spans="1:11" x14ac:dyDescent="0.25">
      <c r="A420" t="s">
        <v>151</v>
      </c>
      <c r="B420" t="s">
        <v>42</v>
      </c>
      <c r="C420" t="s">
        <v>64</v>
      </c>
      <c r="D420">
        <v>2050</v>
      </c>
      <c r="E420" t="s">
        <v>120</v>
      </c>
      <c r="F420" t="s">
        <v>108</v>
      </c>
      <c r="G420" t="s">
        <v>64</v>
      </c>
      <c r="H420">
        <v>0</v>
      </c>
      <c r="I420">
        <v>0</v>
      </c>
      <c r="J420">
        <v>0</v>
      </c>
      <c r="K420">
        <v>0</v>
      </c>
    </row>
    <row r="421" spans="1:11" x14ac:dyDescent="0.25">
      <c r="A421" t="s">
        <v>151</v>
      </c>
      <c r="B421" t="s">
        <v>42</v>
      </c>
      <c r="C421" t="s">
        <v>119</v>
      </c>
      <c r="D421">
        <v>2050</v>
      </c>
      <c r="E421" t="s">
        <v>120</v>
      </c>
      <c r="F421" t="s">
        <v>108</v>
      </c>
      <c r="G421" t="s">
        <v>52</v>
      </c>
      <c r="H421">
        <v>0</v>
      </c>
      <c r="I421">
        <v>0</v>
      </c>
      <c r="J421">
        <v>0</v>
      </c>
      <c r="K421">
        <v>0</v>
      </c>
    </row>
    <row r="422" spans="1:11" x14ac:dyDescent="0.25">
      <c r="A422" t="s">
        <v>151</v>
      </c>
      <c r="B422" t="s">
        <v>42</v>
      </c>
      <c r="C422" t="s">
        <v>28</v>
      </c>
      <c r="D422">
        <v>2019</v>
      </c>
      <c r="E422" t="s">
        <v>118</v>
      </c>
      <c r="F422" t="s">
        <v>109</v>
      </c>
      <c r="G422" t="s">
        <v>51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151</v>
      </c>
      <c r="B423" t="s">
        <v>42</v>
      </c>
      <c r="C423" t="s">
        <v>33</v>
      </c>
      <c r="D423">
        <v>2019</v>
      </c>
      <c r="E423" t="s">
        <v>118</v>
      </c>
      <c r="F423" t="s">
        <v>109</v>
      </c>
      <c r="G423" t="s">
        <v>51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151</v>
      </c>
      <c r="B424" t="s">
        <v>42</v>
      </c>
      <c r="C424" t="s">
        <v>71</v>
      </c>
      <c r="D424">
        <v>2019</v>
      </c>
      <c r="E424" t="s">
        <v>118</v>
      </c>
      <c r="F424" t="s">
        <v>109</v>
      </c>
      <c r="G424" t="s">
        <v>51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151</v>
      </c>
      <c r="B425" t="s">
        <v>42</v>
      </c>
      <c r="C425" t="s">
        <v>52</v>
      </c>
      <c r="D425">
        <v>2019</v>
      </c>
      <c r="E425" t="s">
        <v>118</v>
      </c>
      <c r="F425" t="s">
        <v>109</v>
      </c>
      <c r="G425" t="s">
        <v>52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151</v>
      </c>
      <c r="B426" t="s">
        <v>42</v>
      </c>
      <c r="C426" t="s">
        <v>29</v>
      </c>
      <c r="D426">
        <v>2019</v>
      </c>
      <c r="E426" t="s">
        <v>118</v>
      </c>
      <c r="F426" t="s">
        <v>109</v>
      </c>
      <c r="G426" t="s">
        <v>29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151</v>
      </c>
      <c r="B427" t="s">
        <v>42</v>
      </c>
      <c r="C427" t="s">
        <v>30</v>
      </c>
      <c r="D427">
        <v>2019</v>
      </c>
      <c r="E427" t="s">
        <v>118</v>
      </c>
      <c r="F427" t="s">
        <v>109</v>
      </c>
      <c r="G427" t="s">
        <v>30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151</v>
      </c>
      <c r="B428" t="s">
        <v>42</v>
      </c>
      <c r="C428" t="s">
        <v>54</v>
      </c>
      <c r="D428">
        <v>2019</v>
      </c>
      <c r="E428" t="s">
        <v>118</v>
      </c>
      <c r="F428" t="s">
        <v>109</v>
      </c>
      <c r="G428" t="s">
        <v>54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151</v>
      </c>
      <c r="B429" t="s">
        <v>42</v>
      </c>
      <c r="C429" t="s">
        <v>53</v>
      </c>
      <c r="D429">
        <v>2019</v>
      </c>
      <c r="E429" t="s">
        <v>118</v>
      </c>
      <c r="F429" t="s">
        <v>109</v>
      </c>
      <c r="G429" t="s">
        <v>53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151</v>
      </c>
      <c r="B430" t="s">
        <v>42</v>
      </c>
      <c r="C430" t="s">
        <v>40</v>
      </c>
      <c r="D430">
        <v>2019</v>
      </c>
      <c r="E430" t="s">
        <v>118</v>
      </c>
      <c r="F430" t="s">
        <v>109</v>
      </c>
      <c r="G430" t="s">
        <v>40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151</v>
      </c>
      <c r="B431" t="s">
        <v>42</v>
      </c>
      <c r="C431" t="s">
        <v>79</v>
      </c>
      <c r="D431">
        <v>2019</v>
      </c>
      <c r="E431" t="s">
        <v>118</v>
      </c>
      <c r="F431" t="s">
        <v>109</v>
      </c>
      <c r="G431" t="s">
        <v>79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151</v>
      </c>
      <c r="B432" t="s">
        <v>42</v>
      </c>
      <c r="C432" t="s">
        <v>74</v>
      </c>
      <c r="D432">
        <v>2019</v>
      </c>
      <c r="E432" t="s">
        <v>118</v>
      </c>
      <c r="F432" t="s">
        <v>109</v>
      </c>
      <c r="G432" t="s">
        <v>51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151</v>
      </c>
      <c r="B433" t="s">
        <v>42</v>
      </c>
      <c r="C433" t="s">
        <v>77</v>
      </c>
      <c r="D433">
        <v>2019</v>
      </c>
      <c r="E433" t="s">
        <v>118</v>
      </c>
      <c r="F433" t="s">
        <v>109</v>
      </c>
      <c r="G433" t="s">
        <v>77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151</v>
      </c>
      <c r="B434" t="s">
        <v>42</v>
      </c>
      <c r="C434" t="s">
        <v>64</v>
      </c>
      <c r="D434">
        <v>2019</v>
      </c>
      <c r="E434" t="s">
        <v>118</v>
      </c>
      <c r="F434" t="s">
        <v>109</v>
      </c>
      <c r="G434" t="s">
        <v>64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151</v>
      </c>
      <c r="B435" t="s">
        <v>42</v>
      </c>
      <c r="C435" t="s">
        <v>119</v>
      </c>
      <c r="D435">
        <v>2019</v>
      </c>
      <c r="E435" t="s">
        <v>118</v>
      </c>
      <c r="F435" t="s">
        <v>109</v>
      </c>
      <c r="G435" t="s">
        <v>52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151</v>
      </c>
      <c r="B436" t="s">
        <v>42</v>
      </c>
      <c r="C436" t="s">
        <v>28</v>
      </c>
      <c r="D436">
        <v>2030</v>
      </c>
      <c r="E436" t="s">
        <v>118</v>
      </c>
      <c r="F436" t="s">
        <v>109</v>
      </c>
      <c r="G436" t="s">
        <v>28</v>
      </c>
      <c r="H436">
        <v>0</v>
      </c>
      <c r="I436">
        <v>0</v>
      </c>
      <c r="J436">
        <v>0</v>
      </c>
      <c r="K436">
        <v>0</v>
      </c>
    </row>
    <row r="437" spans="1:11" x14ac:dyDescent="0.25">
      <c r="A437" t="s">
        <v>151</v>
      </c>
      <c r="B437" t="s">
        <v>42</v>
      </c>
      <c r="C437" t="s">
        <v>33</v>
      </c>
      <c r="D437">
        <v>2030</v>
      </c>
      <c r="E437" t="s">
        <v>118</v>
      </c>
      <c r="F437" t="s">
        <v>109</v>
      </c>
      <c r="G437" t="s">
        <v>33</v>
      </c>
      <c r="H437">
        <v>0</v>
      </c>
      <c r="I437">
        <v>0</v>
      </c>
      <c r="J437">
        <v>0</v>
      </c>
      <c r="K437">
        <v>0</v>
      </c>
    </row>
    <row r="438" spans="1:11" x14ac:dyDescent="0.25">
      <c r="A438" t="s">
        <v>151</v>
      </c>
      <c r="B438" t="s">
        <v>42</v>
      </c>
      <c r="C438" t="s">
        <v>71</v>
      </c>
      <c r="D438">
        <v>2030</v>
      </c>
      <c r="E438" t="s">
        <v>118</v>
      </c>
      <c r="F438" t="s">
        <v>109</v>
      </c>
      <c r="G438" t="s">
        <v>71</v>
      </c>
      <c r="H438">
        <v>0</v>
      </c>
      <c r="I438">
        <v>0</v>
      </c>
      <c r="J438">
        <v>0</v>
      </c>
      <c r="K438">
        <v>0</v>
      </c>
    </row>
    <row r="439" spans="1:11" x14ac:dyDescent="0.25">
      <c r="A439" t="s">
        <v>151</v>
      </c>
      <c r="B439" t="s">
        <v>42</v>
      </c>
      <c r="C439" t="s">
        <v>52</v>
      </c>
      <c r="D439">
        <v>2030</v>
      </c>
      <c r="E439" t="s">
        <v>118</v>
      </c>
      <c r="F439" t="s">
        <v>109</v>
      </c>
      <c r="G439" t="s">
        <v>52</v>
      </c>
      <c r="H439">
        <v>0</v>
      </c>
      <c r="I439">
        <v>0</v>
      </c>
      <c r="J439">
        <v>0</v>
      </c>
      <c r="K439">
        <v>0</v>
      </c>
    </row>
    <row r="440" spans="1:11" x14ac:dyDescent="0.25">
      <c r="A440" t="s">
        <v>151</v>
      </c>
      <c r="B440" t="s">
        <v>42</v>
      </c>
      <c r="C440" t="s">
        <v>29</v>
      </c>
      <c r="D440">
        <v>2030</v>
      </c>
      <c r="E440" t="s">
        <v>118</v>
      </c>
      <c r="F440" t="s">
        <v>109</v>
      </c>
      <c r="G440" t="s">
        <v>29</v>
      </c>
      <c r="H440">
        <v>0</v>
      </c>
      <c r="I440">
        <v>0</v>
      </c>
      <c r="J440">
        <v>0</v>
      </c>
      <c r="K440">
        <v>0</v>
      </c>
    </row>
    <row r="441" spans="1:11" x14ac:dyDescent="0.25">
      <c r="A441" t="s">
        <v>151</v>
      </c>
      <c r="B441" t="s">
        <v>42</v>
      </c>
      <c r="C441" t="s">
        <v>30</v>
      </c>
      <c r="D441">
        <v>2030</v>
      </c>
      <c r="E441" t="s">
        <v>118</v>
      </c>
      <c r="F441" t="s">
        <v>109</v>
      </c>
      <c r="G441" t="s">
        <v>30</v>
      </c>
      <c r="H441">
        <v>0</v>
      </c>
      <c r="I441">
        <v>0</v>
      </c>
      <c r="J441">
        <v>0</v>
      </c>
      <c r="K441">
        <v>0</v>
      </c>
    </row>
    <row r="442" spans="1:11" x14ac:dyDescent="0.25">
      <c r="A442" t="s">
        <v>151</v>
      </c>
      <c r="B442" t="s">
        <v>42</v>
      </c>
      <c r="C442" t="s">
        <v>54</v>
      </c>
      <c r="D442">
        <v>2030</v>
      </c>
      <c r="E442" t="s">
        <v>118</v>
      </c>
      <c r="F442" t="s">
        <v>109</v>
      </c>
      <c r="G442" t="s">
        <v>54</v>
      </c>
      <c r="H442">
        <v>0</v>
      </c>
      <c r="I442">
        <v>0</v>
      </c>
      <c r="J442">
        <v>0</v>
      </c>
      <c r="K442">
        <v>0</v>
      </c>
    </row>
    <row r="443" spans="1:11" x14ac:dyDescent="0.25">
      <c r="A443" t="s">
        <v>151</v>
      </c>
      <c r="B443" t="s">
        <v>42</v>
      </c>
      <c r="C443" t="s">
        <v>53</v>
      </c>
      <c r="D443">
        <v>2030</v>
      </c>
      <c r="E443" t="s">
        <v>118</v>
      </c>
      <c r="F443" t="s">
        <v>109</v>
      </c>
      <c r="G443" t="s">
        <v>53</v>
      </c>
      <c r="H443">
        <v>0</v>
      </c>
      <c r="I443">
        <v>0</v>
      </c>
      <c r="J443">
        <v>0</v>
      </c>
      <c r="K443">
        <v>0</v>
      </c>
    </row>
    <row r="444" spans="1:11" x14ac:dyDescent="0.25">
      <c r="A444" t="s">
        <v>151</v>
      </c>
      <c r="B444" t="s">
        <v>42</v>
      </c>
      <c r="C444" t="s">
        <v>40</v>
      </c>
      <c r="D444">
        <v>2030</v>
      </c>
      <c r="E444" t="s">
        <v>118</v>
      </c>
      <c r="F444" t="s">
        <v>109</v>
      </c>
      <c r="G444" t="s">
        <v>40</v>
      </c>
      <c r="H444">
        <v>0</v>
      </c>
      <c r="I444">
        <v>0</v>
      </c>
      <c r="J444">
        <v>0</v>
      </c>
      <c r="K444">
        <v>0</v>
      </c>
    </row>
    <row r="445" spans="1:11" x14ac:dyDescent="0.25">
      <c r="A445" t="s">
        <v>151</v>
      </c>
      <c r="B445" t="s">
        <v>42</v>
      </c>
      <c r="C445" t="s">
        <v>79</v>
      </c>
      <c r="D445">
        <v>2030</v>
      </c>
      <c r="E445" t="s">
        <v>118</v>
      </c>
      <c r="F445" t="s">
        <v>109</v>
      </c>
      <c r="G445" t="s">
        <v>79</v>
      </c>
      <c r="H445">
        <v>0</v>
      </c>
      <c r="I445">
        <v>0</v>
      </c>
      <c r="J445">
        <v>0</v>
      </c>
      <c r="K445">
        <v>0</v>
      </c>
    </row>
    <row r="446" spans="1:11" x14ac:dyDescent="0.25">
      <c r="A446" t="s">
        <v>151</v>
      </c>
      <c r="B446" t="s">
        <v>42</v>
      </c>
      <c r="C446" t="s">
        <v>74</v>
      </c>
      <c r="D446">
        <v>2030</v>
      </c>
      <c r="E446" t="s">
        <v>118</v>
      </c>
      <c r="F446" t="s">
        <v>109</v>
      </c>
      <c r="G446" t="s">
        <v>74</v>
      </c>
      <c r="H446">
        <v>0</v>
      </c>
      <c r="I446">
        <v>0</v>
      </c>
      <c r="J446">
        <v>0</v>
      </c>
      <c r="K446">
        <v>0</v>
      </c>
    </row>
    <row r="447" spans="1:11" x14ac:dyDescent="0.25">
      <c r="A447" t="s">
        <v>151</v>
      </c>
      <c r="B447" t="s">
        <v>42</v>
      </c>
      <c r="C447" t="s">
        <v>77</v>
      </c>
      <c r="D447">
        <v>2030</v>
      </c>
      <c r="E447" t="s">
        <v>118</v>
      </c>
      <c r="F447" t="s">
        <v>109</v>
      </c>
      <c r="G447" t="s">
        <v>77</v>
      </c>
      <c r="H447">
        <v>0</v>
      </c>
      <c r="I447">
        <v>0</v>
      </c>
      <c r="J447">
        <v>0</v>
      </c>
      <c r="K447">
        <v>0</v>
      </c>
    </row>
    <row r="448" spans="1:11" x14ac:dyDescent="0.25">
      <c r="A448" t="s">
        <v>151</v>
      </c>
      <c r="B448" t="s">
        <v>42</v>
      </c>
      <c r="C448" t="s">
        <v>64</v>
      </c>
      <c r="D448">
        <v>2030</v>
      </c>
      <c r="E448" t="s">
        <v>118</v>
      </c>
      <c r="F448" t="s">
        <v>109</v>
      </c>
      <c r="G448" t="s">
        <v>64</v>
      </c>
      <c r="H448">
        <v>0</v>
      </c>
      <c r="I448">
        <v>0</v>
      </c>
      <c r="J448">
        <v>0</v>
      </c>
      <c r="K448">
        <v>0</v>
      </c>
    </row>
    <row r="449" spans="1:11" x14ac:dyDescent="0.25">
      <c r="A449" t="s">
        <v>151</v>
      </c>
      <c r="B449" t="s">
        <v>42</v>
      </c>
      <c r="C449" t="s">
        <v>119</v>
      </c>
      <c r="D449">
        <v>2030</v>
      </c>
      <c r="E449" t="s">
        <v>118</v>
      </c>
      <c r="F449" t="s">
        <v>109</v>
      </c>
      <c r="G449" t="s">
        <v>52</v>
      </c>
      <c r="H449">
        <v>0</v>
      </c>
      <c r="I449">
        <v>0</v>
      </c>
      <c r="J449">
        <v>0</v>
      </c>
      <c r="K449">
        <v>0</v>
      </c>
    </row>
    <row r="450" spans="1:11" x14ac:dyDescent="0.25">
      <c r="A450" t="s">
        <v>151</v>
      </c>
      <c r="B450" t="s">
        <v>42</v>
      </c>
      <c r="C450" t="s">
        <v>28</v>
      </c>
      <c r="D450">
        <v>2050</v>
      </c>
      <c r="E450" t="s">
        <v>118</v>
      </c>
      <c r="F450" t="s">
        <v>109</v>
      </c>
      <c r="G450" t="s">
        <v>28</v>
      </c>
      <c r="H450">
        <v>0</v>
      </c>
      <c r="I450">
        <v>0</v>
      </c>
      <c r="J450">
        <v>0</v>
      </c>
      <c r="K450">
        <v>0</v>
      </c>
    </row>
    <row r="451" spans="1:11" x14ac:dyDescent="0.25">
      <c r="A451" t="s">
        <v>151</v>
      </c>
      <c r="B451" t="s">
        <v>42</v>
      </c>
      <c r="C451" t="s">
        <v>33</v>
      </c>
      <c r="D451">
        <v>2050</v>
      </c>
      <c r="E451" t="s">
        <v>118</v>
      </c>
      <c r="F451" t="s">
        <v>109</v>
      </c>
      <c r="G451" t="s">
        <v>33</v>
      </c>
      <c r="H451">
        <v>0</v>
      </c>
      <c r="I451">
        <v>0</v>
      </c>
      <c r="J451">
        <v>0</v>
      </c>
      <c r="K451">
        <v>0</v>
      </c>
    </row>
    <row r="452" spans="1:11" x14ac:dyDescent="0.25">
      <c r="A452" t="s">
        <v>151</v>
      </c>
      <c r="B452" t="s">
        <v>42</v>
      </c>
      <c r="C452" t="s">
        <v>71</v>
      </c>
      <c r="D452">
        <v>2050</v>
      </c>
      <c r="E452" t="s">
        <v>118</v>
      </c>
      <c r="F452" t="s">
        <v>109</v>
      </c>
      <c r="G452" t="s">
        <v>71</v>
      </c>
      <c r="H452">
        <v>0</v>
      </c>
      <c r="I452">
        <v>0</v>
      </c>
      <c r="J452">
        <v>0</v>
      </c>
      <c r="K452">
        <v>0</v>
      </c>
    </row>
    <row r="453" spans="1:11" x14ac:dyDescent="0.25">
      <c r="A453" t="s">
        <v>151</v>
      </c>
      <c r="B453" t="s">
        <v>42</v>
      </c>
      <c r="C453" t="s">
        <v>52</v>
      </c>
      <c r="D453">
        <v>2050</v>
      </c>
      <c r="E453" t="s">
        <v>118</v>
      </c>
      <c r="F453" t="s">
        <v>109</v>
      </c>
      <c r="G453" t="s">
        <v>52</v>
      </c>
      <c r="H453">
        <v>0</v>
      </c>
      <c r="I453">
        <v>0</v>
      </c>
      <c r="J453">
        <v>0</v>
      </c>
      <c r="K453">
        <v>0</v>
      </c>
    </row>
    <row r="454" spans="1:11" x14ac:dyDescent="0.25">
      <c r="A454" t="s">
        <v>151</v>
      </c>
      <c r="B454" t="s">
        <v>42</v>
      </c>
      <c r="C454" t="s">
        <v>29</v>
      </c>
      <c r="D454">
        <v>2050</v>
      </c>
      <c r="E454" t="s">
        <v>118</v>
      </c>
      <c r="F454" t="s">
        <v>109</v>
      </c>
      <c r="G454" t="s">
        <v>29</v>
      </c>
      <c r="H454">
        <v>0</v>
      </c>
      <c r="I454">
        <v>0</v>
      </c>
      <c r="J454">
        <v>0</v>
      </c>
      <c r="K454">
        <v>0</v>
      </c>
    </row>
    <row r="455" spans="1:11" x14ac:dyDescent="0.25">
      <c r="A455" t="s">
        <v>151</v>
      </c>
      <c r="B455" t="s">
        <v>42</v>
      </c>
      <c r="C455" t="s">
        <v>30</v>
      </c>
      <c r="D455">
        <v>2050</v>
      </c>
      <c r="E455" t="s">
        <v>118</v>
      </c>
      <c r="F455" t="s">
        <v>109</v>
      </c>
      <c r="G455" t="s">
        <v>30</v>
      </c>
      <c r="H455">
        <v>0</v>
      </c>
      <c r="I455">
        <v>0</v>
      </c>
      <c r="J455">
        <v>0</v>
      </c>
      <c r="K455">
        <v>0</v>
      </c>
    </row>
    <row r="456" spans="1:11" x14ac:dyDescent="0.25">
      <c r="A456" t="s">
        <v>151</v>
      </c>
      <c r="B456" t="s">
        <v>42</v>
      </c>
      <c r="C456" t="s">
        <v>54</v>
      </c>
      <c r="D456">
        <v>2050</v>
      </c>
      <c r="E456" t="s">
        <v>118</v>
      </c>
      <c r="F456" t="s">
        <v>109</v>
      </c>
      <c r="G456" t="s">
        <v>54</v>
      </c>
      <c r="H456">
        <v>0</v>
      </c>
      <c r="I456">
        <v>0</v>
      </c>
      <c r="J456">
        <v>0</v>
      </c>
      <c r="K456">
        <v>0</v>
      </c>
    </row>
    <row r="457" spans="1:11" x14ac:dyDescent="0.25">
      <c r="A457" t="s">
        <v>151</v>
      </c>
      <c r="B457" t="s">
        <v>42</v>
      </c>
      <c r="C457" t="s">
        <v>53</v>
      </c>
      <c r="D457">
        <v>2050</v>
      </c>
      <c r="E457" t="s">
        <v>118</v>
      </c>
      <c r="F457" t="s">
        <v>109</v>
      </c>
      <c r="G457" t="s">
        <v>53</v>
      </c>
      <c r="H457">
        <v>0</v>
      </c>
      <c r="I457">
        <v>0</v>
      </c>
      <c r="J457">
        <v>0</v>
      </c>
      <c r="K457">
        <v>0</v>
      </c>
    </row>
    <row r="458" spans="1:11" x14ac:dyDescent="0.25">
      <c r="A458" t="s">
        <v>151</v>
      </c>
      <c r="B458" t="s">
        <v>42</v>
      </c>
      <c r="C458" t="s">
        <v>40</v>
      </c>
      <c r="D458">
        <v>2050</v>
      </c>
      <c r="E458" t="s">
        <v>118</v>
      </c>
      <c r="F458" t="s">
        <v>109</v>
      </c>
      <c r="G458" t="s">
        <v>40</v>
      </c>
      <c r="H458">
        <v>0</v>
      </c>
      <c r="I458">
        <v>0</v>
      </c>
      <c r="J458">
        <v>0</v>
      </c>
      <c r="K458">
        <v>0</v>
      </c>
    </row>
    <row r="459" spans="1:11" x14ac:dyDescent="0.25">
      <c r="A459" t="s">
        <v>151</v>
      </c>
      <c r="B459" t="s">
        <v>42</v>
      </c>
      <c r="C459" t="s">
        <v>79</v>
      </c>
      <c r="D459">
        <v>2050</v>
      </c>
      <c r="E459" t="s">
        <v>118</v>
      </c>
      <c r="F459" t="s">
        <v>109</v>
      </c>
      <c r="G459" t="s">
        <v>79</v>
      </c>
      <c r="H459">
        <v>0</v>
      </c>
      <c r="I459">
        <v>0</v>
      </c>
      <c r="J459">
        <v>0</v>
      </c>
      <c r="K459">
        <v>0</v>
      </c>
    </row>
    <row r="460" spans="1:11" x14ac:dyDescent="0.25">
      <c r="A460" t="s">
        <v>151</v>
      </c>
      <c r="B460" t="s">
        <v>42</v>
      </c>
      <c r="C460" t="s">
        <v>74</v>
      </c>
      <c r="D460">
        <v>2050</v>
      </c>
      <c r="E460" t="s">
        <v>118</v>
      </c>
      <c r="F460" t="s">
        <v>109</v>
      </c>
      <c r="G460" t="s">
        <v>74</v>
      </c>
      <c r="H460">
        <v>0</v>
      </c>
      <c r="I460">
        <v>0</v>
      </c>
      <c r="J460">
        <v>0</v>
      </c>
      <c r="K460">
        <v>0</v>
      </c>
    </row>
    <row r="461" spans="1:11" x14ac:dyDescent="0.25">
      <c r="A461" t="s">
        <v>151</v>
      </c>
      <c r="B461" t="s">
        <v>42</v>
      </c>
      <c r="C461" t="s">
        <v>77</v>
      </c>
      <c r="D461">
        <v>2050</v>
      </c>
      <c r="E461" t="s">
        <v>118</v>
      </c>
      <c r="F461" t="s">
        <v>109</v>
      </c>
      <c r="G461" t="s">
        <v>77</v>
      </c>
      <c r="H461">
        <v>0</v>
      </c>
      <c r="I461">
        <v>0</v>
      </c>
      <c r="J461">
        <v>0</v>
      </c>
      <c r="K461">
        <v>0</v>
      </c>
    </row>
    <row r="462" spans="1:11" x14ac:dyDescent="0.25">
      <c r="A462" t="s">
        <v>151</v>
      </c>
      <c r="B462" t="s">
        <v>42</v>
      </c>
      <c r="C462" t="s">
        <v>64</v>
      </c>
      <c r="D462">
        <v>2050</v>
      </c>
      <c r="E462" t="s">
        <v>118</v>
      </c>
      <c r="F462" t="s">
        <v>109</v>
      </c>
      <c r="G462" t="s">
        <v>64</v>
      </c>
      <c r="H462">
        <v>0</v>
      </c>
      <c r="I462">
        <v>0</v>
      </c>
      <c r="J462">
        <v>0</v>
      </c>
      <c r="K462">
        <v>0</v>
      </c>
    </row>
    <row r="463" spans="1:11" x14ac:dyDescent="0.25">
      <c r="A463" t="s">
        <v>151</v>
      </c>
      <c r="B463" t="s">
        <v>42</v>
      </c>
      <c r="C463" t="s">
        <v>119</v>
      </c>
      <c r="D463">
        <v>2050</v>
      </c>
      <c r="E463" t="s">
        <v>118</v>
      </c>
      <c r="F463" t="s">
        <v>109</v>
      </c>
      <c r="G463" t="s">
        <v>52</v>
      </c>
      <c r="H463">
        <v>0</v>
      </c>
      <c r="I463">
        <v>0</v>
      </c>
      <c r="J463">
        <v>0</v>
      </c>
      <c r="K463">
        <v>0</v>
      </c>
    </row>
    <row r="464" spans="1:11" x14ac:dyDescent="0.25">
      <c r="A464" t="s">
        <v>151</v>
      </c>
      <c r="B464" t="s">
        <v>42</v>
      </c>
      <c r="C464" t="s">
        <v>28</v>
      </c>
      <c r="D464">
        <v>2019</v>
      </c>
      <c r="E464" t="s">
        <v>120</v>
      </c>
      <c r="F464" t="s">
        <v>109</v>
      </c>
      <c r="G464" t="s">
        <v>51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151</v>
      </c>
      <c r="B465" t="s">
        <v>42</v>
      </c>
      <c r="C465" t="s">
        <v>33</v>
      </c>
      <c r="D465">
        <v>2019</v>
      </c>
      <c r="E465" t="s">
        <v>120</v>
      </c>
      <c r="F465" t="s">
        <v>109</v>
      </c>
      <c r="G465" t="s">
        <v>51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151</v>
      </c>
      <c r="B466" t="s">
        <v>42</v>
      </c>
      <c r="C466" t="s">
        <v>71</v>
      </c>
      <c r="D466">
        <v>2019</v>
      </c>
      <c r="E466" t="s">
        <v>120</v>
      </c>
      <c r="F466" t="s">
        <v>109</v>
      </c>
      <c r="G466" t="s">
        <v>51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151</v>
      </c>
      <c r="B467" t="s">
        <v>42</v>
      </c>
      <c r="C467" t="s">
        <v>52</v>
      </c>
      <c r="D467">
        <v>2019</v>
      </c>
      <c r="E467" t="s">
        <v>120</v>
      </c>
      <c r="F467" t="s">
        <v>109</v>
      </c>
      <c r="G467" t="s">
        <v>52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151</v>
      </c>
      <c r="B468" t="s">
        <v>42</v>
      </c>
      <c r="C468" t="s">
        <v>29</v>
      </c>
      <c r="D468">
        <v>2019</v>
      </c>
      <c r="E468" t="s">
        <v>120</v>
      </c>
      <c r="F468" t="s">
        <v>109</v>
      </c>
      <c r="G468" t="s">
        <v>29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151</v>
      </c>
      <c r="B469" t="s">
        <v>42</v>
      </c>
      <c r="C469" t="s">
        <v>30</v>
      </c>
      <c r="D469">
        <v>2019</v>
      </c>
      <c r="E469" t="s">
        <v>120</v>
      </c>
      <c r="F469" t="s">
        <v>109</v>
      </c>
      <c r="G469" t="s">
        <v>30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151</v>
      </c>
      <c r="B470" t="s">
        <v>42</v>
      </c>
      <c r="C470" t="s">
        <v>54</v>
      </c>
      <c r="D470">
        <v>2019</v>
      </c>
      <c r="E470" t="s">
        <v>120</v>
      </c>
      <c r="F470" t="s">
        <v>109</v>
      </c>
      <c r="G470" t="s">
        <v>54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151</v>
      </c>
      <c r="B471" t="s">
        <v>42</v>
      </c>
      <c r="C471" t="s">
        <v>53</v>
      </c>
      <c r="D471">
        <v>2019</v>
      </c>
      <c r="E471" t="s">
        <v>120</v>
      </c>
      <c r="F471" t="s">
        <v>109</v>
      </c>
      <c r="G471" t="s">
        <v>53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151</v>
      </c>
      <c r="B472" t="s">
        <v>42</v>
      </c>
      <c r="C472" t="s">
        <v>40</v>
      </c>
      <c r="D472">
        <v>2019</v>
      </c>
      <c r="E472" t="s">
        <v>120</v>
      </c>
      <c r="F472" t="s">
        <v>109</v>
      </c>
      <c r="G472" t="s">
        <v>40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151</v>
      </c>
      <c r="B473" t="s">
        <v>42</v>
      </c>
      <c r="C473" t="s">
        <v>79</v>
      </c>
      <c r="D473">
        <v>2019</v>
      </c>
      <c r="E473" t="s">
        <v>120</v>
      </c>
      <c r="F473" t="s">
        <v>109</v>
      </c>
      <c r="G473" t="s">
        <v>79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151</v>
      </c>
      <c r="B474" t="s">
        <v>42</v>
      </c>
      <c r="C474" t="s">
        <v>74</v>
      </c>
      <c r="D474">
        <v>2019</v>
      </c>
      <c r="E474" t="s">
        <v>120</v>
      </c>
      <c r="F474" t="s">
        <v>109</v>
      </c>
      <c r="G474" t="s">
        <v>51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151</v>
      </c>
      <c r="B475" t="s">
        <v>42</v>
      </c>
      <c r="C475" t="s">
        <v>77</v>
      </c>
      <c r="D475">
        <v>2019</v>
      </c>
      <c r="E475" t="s">
        <v>120</v>
      </c>
      <c r="F475" t="s">
        <v>109</v>
      </c>
      <c r="G475" t="s">
        <v>77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151</v>
      </c>
      <c r="B476" t="s">
        <v>42</v>
      </c>
      <c r="C476" t="s">
        <v>64</v>
      </c>
      <c r="D476">
        <v>2019</v>
      </c>
      <c r="E476" t="s">
        <v>120</v>
      </c>
      <c r="F476" t="s">
        <v>109</v>
      </c>
      <c r="G476" t="s">
        <v>64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151</v>
      </c>
      <c r="B477" t="s">
        <v>42</v>
      </c>
      <c r="C477" t="s">
        <v>119</v>
      </c>
      <c r="D477">
        <v>2019</v>
      </c>
      <c r="E477" t="s">
        <v>120</v>
      </c>
      <c r="F477" t="s">
        <v>109</v>
      </c>
      <c r="G477" t="s">
        <v>52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151</v>
      </c>
      <c r="B478" t="s">
        <v>42</v>
      </c>
      <c r="C478" t="s">
        <v>28</v>
      </c>
      <c r="D478">
        <v>2030</v>
      </c>
      <c r="E478" t="s">
        <v>120</v>
      </c>
      <c r="F478" t="s">
        <v>109</v>
      </c>
      <c r="G478" t="s">
        <v>28</v>
      </c>
      <c r="H478">
        <v>0</v>
      </c>
      <c r="I478">
        <v>0</v>
      </c>
      <c r="J478">
        <v>0</v>
      </c>
      <c r="K478">
        <v>0</v>
      </c>
    </row>
    <row r="479" spans="1:11" x14ac:dyDescent="0.25">
      <c r="A479" t="s">
        <v>151</v>
      </c>
      <c r="B479" t="s">
        <v>42</v>
      </c>
      <c r="C479" t="s">
        <v>33</v>
      </c>
      <c r="D479">
        <v>2030</v>
      </c>
      <c r="E479" t="s">
        <v>120</v>
      </c>
      <c r="F479" t="s">
        <v>109</v>
      </c>
      <c r="G479" t="s">
        <v>33</v>
      </c>
      <c r="H479">
        <v>0</v>
      </c>
      <c r="I479">
        <v>0</v>
      </c>
      <c r="J479">
        <v>0</v>
      </c>
      <c r="K479">
        <v>0</v>
      </c>
    </row>
    <row r="480" spans="1:11" x14ac:dyDescent="0.25">
      <c r="A480" t="s">
        <v>151</v>
      </c>
      <c r="B480" t="s">
        <v>42</v>
      </c>
      <c r="C480" t="s">
        <v>71</v>
      </c>
      <c r="D480">
        <v>2030</v>
      </c>
      <c r="E480" t="s">
        <v>120</v>
      </c>
      <c r="F480" t="s">
        <v>109</v>
      </c>
      <c r="G480" t="s">
        <v>71</v>
      </c>
      <c r="H480">
        <v>0</v>
      </c>
      <c r="I480">
        <v>0</v>
      </c>
      <c r="J480">
        <v>0</v>
      </c>
      <c r="K480">
        <v>0</v>
      </c>
    </row>
    <row r="481" spans="1:11" x14ac:dyDescent="0.25">
      <c r="A481" t="s">
        <v>151</v>
      </c>
      <c r="B481" t="s">
        <v>42</v>
      </c>
      <c r="C481" t="s">
        <v>52</v>
      </c>
      <c r="D481">
        <v>2030</v>
      </c>
      <c r="E481" t="s">
        <v>120</v>
      </c>
      <c r="F481" t="s">
        <v>109</v>
      </c>
      <c r="G481" t="s">
        <v>52</v>
      </c>
      <c r="H481">
        <v>0</v>
      </c>
      <c r="I481">
        <v>0</v>
      </c>
      <c r="J481">
        <v>0</v>
      </c>
      <c r="K481">
        <v>0</v>
      </c>
    </row>
    <row r="482" spans="1:11" x14ac:dyDescent="0.25">
      <c r="A482" t="s">
        <v>151</v>
      </c>
      <c r="B482" t="s">
        <v>42</v>
      </c>
      <c r="C482" t="s">
        <v>29</v>
      </c>
      <c r="D482">
        <v>2030</v>
      </c>
      <c r="E482" t="s">
        <v>120</v>
      </c>
      <c r="F482" t="s">
        <v>109</v>
      </c>
      <c r="G482" t="s">
        <v>29</v>
      </c>
      <c r="H482">
        <v>0</v>
      </c>
      <c r="I482">
        <v>0</v>
      </c>
      <c r="J482">
        <v>0</v>
      </c>
      <c r="K482">
        <v>0</v>
      </c>
    </row>
    <row r="483" spans="1:11" x14ac:dyDescent="0.25">
      <c r="A483" t="s">
        <v>151</v>
      </c>
      <c r="B483" t="s">
        <v>42</v>
      </c>
      <c r="C483" t="s">
        <v>30</v>
      </c>
      <c r="D483">
        <v>2030</v>
      </c>
      <c r="E483" t="s">
        <v>120</v>
      </c>
      <c r="F483" t="s">
        <v>109</v>
      </c>
      <c r="G483" t="s">
        <v>30</v>
      </c>
      <c r="H483">
        <v>0</v>
      </c>
      <c r="I483">
        <v>0</v>
      </c>
      <c r="J483">
        <v>0</v>
      </c>
      <c r="K483">
        <v>0</v>
      </c>
    </row>
    <row r="484" spans="1:11" x14ac:dyDescent="0.25">
      <c r="A484" t="s">
        <v>151</v>
      </c>
      <c r="B484" t="s">
        <v>42</v>
      </c>
      <c r="C484" t="s">
        <v>54</v>
      </c>
      <c r="D484">
        <v>2030</v>
      </c>
      <c r="E484" t="s">
        <v>120</v>
      </c>
      <c r="F484" t="s">
        <v>109</v>
      </c>
      <c r="G484" t="s">
        <v>54</v>
      </c>
      <c r="H484">
        <v>0</v>
      </c>
      <c r="I484">
        <v>0</v>
      </c>
      <c r="J484">
        <v>0</v>
      </c>
      <c r="K484">
        <v>0</v>
      </c>
    </row>
    <row r="485" spans="1:11" x14ac:dyDescent="0.25">
      <c r="A485" t="s">
        <v>151</v>
      </c>
      <c r="B485" t="s">
        <v>42</v>
      </c>
      <c r="C485" t="s">
        <v>53</v>
      </c>
      <c r="D485">
        <v>2030</v>
      </c>
      <c r="E485" t="s">
        <v>120</v>
      </c>
      <c r="F485" t="s">
        <v>109</v>
      </c>
      <c r="G485" t="s">
        <v>53</v>
      </c>
      <c r="H485">
        <v>0</v>
      </c>
      <c r="I485">
        <v>0</v>
      </c>
      <c r="J485">
        <v>0</v>
      </c>
      <c r="K485">
        <v>0</v>
      </c>
    </row>
    <row r="486" spans="1:11" x14ac:dyDescent="0.25">
      <c r="A486" t="s">
        <v>151</v>
      </c>
      <c r="B486" t="s">
        <v>42</v>
      </c>
      <c r="C486" t="s">
        <v>40</v>
      </c>
      <c r="D486">
        <v>2030</v>
      </c>
      <c r="E486" t="s">
        <v>120</v>
      </c>
      <c r="F486" t="s">
        <v>109</v>
      </c>
      <c r="G486" t="s">
        <v>40</v>
      </c>
      <c r="H486">
        <v>0</v>
      </c>
      <c r="I486">
        <v>0</v>
      </c>
      <c r="J486">
        <v>0</v>
      </c>
      <c r="K486">
        <v>0</v>
      </c>
    </row>
    <row r="487" spans="1:11" x14ac:dyDescent="0.25">
      <c r="A487" t="s">
        <v>151</v>
      </c>
      <c r="B487" t="s">
        <v>42</v>
      </c>
      <c r="C487" t="s">
        <v>79</v>
      </c>
      <c r="D487">
        <v>2030</v>
      </c>
      <c r="E487" t="s">
        <v>120</v>
      </c>
      <c r="F487" t="s">
        <v>109</v>
      </c>
      <c r="G487" t="s">
        <v>79</v>
      </c>
      <c r="H487">
        <v>0</v>
      </c>
      <c r="I487">
        <v>0</v>
      </c>
      <c r="J487">
        <v>0</v>
      </c>
      <c r="K487">
        <v>0</v>
      </c>
    </row>
    <row r="488" spans="1:11" x14ac:dyDescent="0.25">
      <c r="A488" t="s">
        <v>151</v>
      </c>
      <c r="B488" t="s">
        <v>42</v>
      </c>
      <c r="C488" t="s">
        <v>74</v>
      </c>
      <c r="D488">
        <v>2030</v>
      </c>
      <c r="E488" t="s">
        <v>120</v>
      </c>
      <c r="F488" t="s">
        <v>109</v>
      </c>
      <c r="G488" t="s">
        <v>74</v>
      </c>
      <c r="H488">
        <v>0</v>
      </c>
      <c r="I488">
        <v>0</v>
      </c>
      <c r="J488">
        <v>0</v>
      </c>
      <c r="K488">
        <v>0</v>
      </c>
    </row>
    <row r="489" spans="1:11" x14ac:dyDescent="0.25">
      <c r="A489" t="s">
        <v>151</v>
      </c>
      <c r="B489" t="s">
        <v>42</v>
      </c>
      <c r="C489" t="s">
        <v>77</v>
      </c>
      <c r="D489">
        <v>2030</v>
      </c>
      <c r="E489" t="s">
        <v>120</v>
      </c>
      <c r="F489" t="s">
        <v>109</v>
      </c>
      <c r="G489" t="s">
        <v>77</v>
      </c>
      <c r="H489">
        <v>0</v>
      </c>
      <c r="I489">
        <v>0</v>
      </c>
      <c r="J489">
        <v>0</v>
      </c>
      <c r="K489">
        <v>0</v>
      </c>
    </row>
    <row r="490" spans="1:11" x14ac:dyDescent="0.25">
      <c r="A490" t="s">
        <v>151</v>
      </c>
      <c r="B490" t="s">
        <v>42</v>
      </c>
      <c r="C490" t="s">
        <v>64</v>
      </c>
      <c r="D490">
        <v>2030</v>
      </c>
      <c r="E490" t="s">
        <v>120</v>
      </c>
      <c r="F490" t="s">
        <v>109</v>
      </c>
      <c r="G490" t="s">
        <v>64</v>
      </c>
      <c r="H490">
        <v>0</v>
      </c>
      <c r="I490">
        <v>0</v>
      </c>
      <c r="J490">
        <v>0</v>
      </c>
      <c r="K490">
        <v>0</v>
      </c>
    </row>
    <row r="491" spans="1:11" x14ac:dyDescent="0.25">
      <c r="A491" t="s">
        <v>151</v>
      </c>
      <c r="B491" t="s">
        <v>42</v>
      </c>
      <c r="C491" t="s">
        <v>119</v>
      </c>
      <c r="D491">
        <v>2030</v>
      </c>
      <c r="E491" t="s">
        <v>120</v>
      </c>
      <c r="F491" t="s">
        <v>109</v>
      </c>
      <c r="G491" t="s">
        <v>52</v>
      </c>
      <c r="H491">
        <v>0</v>
      </c>
      <c r="I491">
        <v>0</v>
      </c>
      <c r="J491">
        <v>0</v>
      </c>
      <c r="K491">
        <v>0</v>
      </c>
    </row>
    <row r="492" spans="1:11" x14ac:dyDescent="0.25">
      <c r="A492" t="s">
        <v>151</v>
      </c>
      <c r="B492" t="s">
        <v>42</v>
      </c>
      <c r="C492" t="s">
        <v>28</v>
      </c>
      <c r="D492">
        <v>2050</v>
      </c>
      <c r="E492" t="s">
        <v>120</v>
      </c>
      <c r="F492" t="s">
        <v>109</v>
      </c>
      <c r="G492" t="s">
        <v>28</v>
      </c>
      <c r="H492">
        <v>0</v>
      </c>
      <c r="I492">
        <v>0</v>
      </c>
      <c r="J492">
        <v>0</v>
      </c>
      <c r="K492">
        <v>0</v>
      </c>
    </row>
    <row r="493" spans="1:11" x14ac:dyDescent="0.25">
      <c r="A493" t="s">
        <v>151</v>
      </c>
      <c r="B493" t="s">
        <v>42</v>
      </c>
      <c r="C493" t="s">
        <v>33</v>
      </c>
      <c r="D493">
        <v>2050</v>
      </c>
      <c r="E493" t="s">
        <v>120</v>
      </c>
      <c r="F493" t="s">
        <v>109</v>
      </c>
      <c r="G493" t="s">
        <v>33</v>
      </c>
      <c r="H493">
        <v>0</v>
      </c>
      <c r="I493">
        <v>0</v>
      </c>
      <c r="J493">
        <v>0</v>
      </c>
      <c r="K493">
        <v>0</v>
      </c>
    </row>
    <row r="494" spans="1:11" x14ac:dyDescent="0.25">
      <c r="A494" t="s">
        <v>151</v>
      </c>
      <c r="B494" t="s">
        <v>42</v>
      </c>
      <c r="C494" t="s">
        <v>71</v>
      </c>
      <c r="D494">
        <v>2050</v>
      </c>
      <c r="E494" t="s">
        <v>120</v>
      </c>
      <c r="F494" t="s">
        <v>109</v>
      </c>
      <c r="G494" t="s">
        <v>71</v>
      </c>
      <c r="H494">
        <v>0</v>
      </c>
      <c r="I494">
        <v>0</v>
      </c>
      <c r="J494">
        <v>0</v>
      </c>
      <c r="K494">
        <v>0</v>
      </c>
    </row>
    <row r="495" spans="1:11" x14ac:dyDescent="0.25">
      <c r="A495" t="s">
        <v>151</v>
      </c>
      <c r="B495" t="s">
        <v>42</v>
      </c>
      <c r="C495" t="s">
        <v>52</v>
      </c>
      <c r="D495">
        <v>2050</v>
      </c>
      <c r="E495" t="s">
        <v>120</v>
      </c>
      <c r="F495" t="s">
        <v>109</v>
      </c>
      <c r="G495" t="s">
        <v>52</v>
      </c>
      <c r="H495">
        <v>0</v>
      </c>
      <c r="I495">
        <v>0</v>
      </c>
      <c r="J495">
        <v>0</v>
      </c>
      <c r="K495">
        <v>0</v>
      </c>
    </row>
    <row r="496" spans="1:11" x14ac:dyDescent="0.25">
      <c r="A496" t="s">
        <v>151</v>
      </c>
      <c r="B496" t="s">
        <v>42</v>
      </c>
      <c r="C496" t="s">
        <v>29</v>
      </c>
      <c r="D496">
        <v>2050</v>
      </c>
      <c r="E496" t="s">
        <v>120</v>
      </c>
      <c r="F496" t="s">
        <v>109</v>
      </c>
      <c r="G496" t="s">
        <v>29</v>
      </c>
      <c r="H496">
        <v>0</v>
      </c>
      <c r="I496">
        <v>0</v>
      </c>
      <c r="J496">
        <v>0</v>
      </c>
      <c r="K496">
        <v>0</v>
      </c>
    </row>
    <row r="497" spans="1:11" x14ac:dyDescent="0.25">
      <c r="A497" t="s">
        <v>151</v>
      </c>
      <c r="B497" t="s">
        <v>42</v>
      </c>
      <c r="C497" t="s">
        <v>30</v>
      </c>
      <c r="D497">
        <v>2050</v>
      </c>
      <c r="E497" t="s">
        <v>120</v>
      </c>
      <c r="F497" t="s">
        <v>109</v>
      </c>
      <c r="G497" t="s">
        <v>30</v>
      </c>
      <c r="H497">
        <v>0</v>
      </c>
      <c r="I497">
        <v>0</v>
      </c>
      <c r="J497">
        <v>0</v>
      </c>
      <c r="K497">
        <v>0</v>
      </c>
    </row>
    <row r="498" spans="1:11" x14ac:dyDescent="0.25">
      <c r="A498" t="s">
        <v>151</v>
      </c>
      <c r="B498" t="s">
        <v>42</v>
      </c>
      <c r="C498" t="s">
        <v>54</v>
      </c>
      <c r="D498">
        <v>2050</v>
      </c>
      <c r="E498" t="s">
        <v>120</v>
      </c>
      <c r="F498" t="s">
        <v>109</v>
      </c>
      <c r="G498" t="s">
        <v>54</v>
      </c>
      <c r="H498">
        <v>0</v>
      </c>
      <c r="I498">
        <v>0</v>
      </c>
      <c r="J498">
        <v>0</v>
      </c>
      <c r="K498">
        <v>0</v>
      </c>
    </row>
    <row r="499" spans="1:11" x14ac:dyDescent="0.25">
      <c r="A499" t="s">
        <v>151</v>
      </c>
      <c r="B499" t="s">
        <v>42</v>
      </c>
      <c r="C499" t="s">
        <v>53</v>
      </c>
      <c r="D499">
        <v>2050</v>
      </c>
      <c r="E499" t="s">
        <v>120</v>
      </c>
      <c r="F499" t="s">
        <v>109</v>
      </c>
      <c r="G499" t="s">
        <v>53</v>
      </c>
      <c r="H499">
        <v>0</v>
      </c>
      <c r="I499">
        <v>0</v>
      </c>
      <c r="J499">
        <v>0</v>
      </c>
      <c r="K499">
        <v>0</v>
      </c>
    </row>
    <row r="500" spans="1:11" x14ac:dyDescent="0.25">
      <c r="A500" t="s">
        <v>151</v>
      </c>
      <c r="B500" t="s">
        <v>42</v>
      </c>
      <c r="C500" t="s">
        <v>40</v>
      </c>
      <c r="D500">
        <v>2050</v>
      </c>
      <c r="E500" t="s">
        <v>120</v>
      </c>
      <c r="F500" t="s">
        <v>109</v>
      </c>
      <c r="G500" t="s">
        <v>40</v>
      </c>
      <c r="H500">
        <v>0</v>
      </c>
      <c r="I500">
        <v>0</v>
      </c>
      <c r="J500">
        <v>0</v>
      </c>
      <c r="K500">
        <v>0</v>
      </c>
    </row>
    <row r="501" spans="1:11" x14ac:dyDescent="0.25">
      <c r="A501" t="s">
        <v>151</v>
      </c>
      <c r="B501" t="s">
        <v>42</v>
      </c>
      <c r="C501" t="s">
        <v>79</v>
      </c>
      <c r="D501">
        <v>2050</v>
      </c>
      <c r="E501" t="s">
        <v>120</v>
      </c>
      <c r="F501" t="s">
        <v>109</v>
      </c>
      <c r="G501" t="s">
        <v>79</v>
      </c>
      <c r="H501">
        <v>0</v>
      </c>
      <c r="I501">
        <v>0</v>
      </c>
      <c r="J501">
        <v>0</v>
      </c>
      <c r="K501">
        <v>0</v>
      </c>
    </row>
    <row r="502" spans="1:11" x14ac:dyDescent="0.25">
      <c r="A502" t="s">
        <v>151</v>
      </c>
      <c r="B502" t="s">
        <v>42</v>
      </c>
      <c r="C502" t="s">
        <v>74</v>
      </c>
      <c r="D502">
        <v>2050</v>
      </c>
      <c r="E502" t="s">
        <v>120</v>
      </c>
      <c r="F502" t="s">
        <v>109</v>
      </c>
      <c r="G502" t="s">
        <v>74</v>
      </c>
      <c r="H502">
        <v>0</v>
      </c>
      <c r="I502">
        <v>0</v>
      </c>
      <c r="J502">
        <v>0</v>
      </c>
      <c r="K502">
        <v>0</v>
      </c>
    </row>
    <row r="503" spans="1:11" x14ac:dyDescent="0.25">
      <c r="A503" t="s">
        <v>151</v>
      </c>
      <c r="B503" t="s">
        <v>42</v>
      </c>
      <c r="C503" t="s">
        <v>77</v>
      </c>
      <c r="D503">
        <v>2050</v>
      </c>
      <c r="E503" t="s">
        <v>120</v>
      </c>
      <c r="F503" t="s">
        <v>109</v>
      </c>
      <c r="G503" t="s">
        <v>77</v>
      </c>
      <c r="H503">
        <v>0</v>
      </c>
      <c r="I503">
        <v>0</v>
      </c>
      <c r="J503">
        <v>0</v>
      </c>
      <c r="K503">
        <v>0</v>
      </c>
    </row>
    <row r="504" spans="1:11" x14ac:dyDescent="0.25">
      <c r="A504" t="s">
        <v>151</v>
      </c>
      <c r="B504" t="s">
        <v>42</v>
      </c>
      <c r="C504" t="s">
        <v>64</v>
      </c>
      <c r="D504">
        <v>2050</v>
      </c>
      <c r="E504" t="s">
        <v>120</v>
      </c>
      <c r="F504" t="s">
        <v>109</v>
      </c>
      <c r="G504" t="s">
        <v>64</v>
      </c>
      <c r="H504">
        <v>0</v>
      </c>
      <c r="I504">
        <v>0</v>
      </c>
      <c r="J504">
        <v>0</v>
      </c>
      <c r="K504">
        <v>0</v>
      </c>
    </row>
    <row r="505" spans="1:11" x14ac:dyDescent="0.25">
      <c r="A505" t="s">
        <v>151</v>
      </c>
      <c r="B505" t="s">
        <v>42</v>
      </c>
      <c r="C505" t="s">
        <v>119</v>
      </c>
      <c r="D505">
        <v>2050</v>
      </c>
      <c r="E505" t="s">
        <v>120</v>
      </c>
      <c r="F505" t="s">
        <v>109</v>
      </c>
      <c r="G505" t="s">
        <v>52</v>
      </c>
      <c r="H505">
        <v>0</v>
      </c>
      <c r="I505">
        <v>0</v>
      </c>
      <c r="J505">
        <v>0</v>
      </c>
      <c r="K505">
        <v>0</v>
      </c>
    </row>
    <row r="506" spans="1:11" x14ac:dyDescent="0.25">
      <c r="A506" t="s">
        <v>152</v>
      </c>
      <c r="B506" t="s">
        <v>27</v>
      </c>
      <c r="C506" t="s">
        <v>28</v>
      </c>
      <c r="D506">
        <v>2019</v>
      </c>
      <c r="E506" t="s">
        <v>118</v>
      </c>
      <c r="F506" t="s">
        <v>107</v>
      </c>
      <c r="G506" t="s">
        <v>51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152</v>
      </c>
      <c r="B507" t="s">
        <v>27</v>
      </c>
      <c r="C507" t="s">
        <v>33</v>
      </c>
      <c r="D507">
        <v>2019</v>
      </c>
      <c r="E507" t="s">
        <v>118</v>
      </c>
      <c r="F507" t="s">
        <v>107</v>
      </c>
      <c r="G507" t="s">
        <v>51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152</v>
      </c>
      <c r="B508" t="s">
        <v>27</v>
      </c>
      <c r="C508" t="s">
        <v>71</v>
      </c>
      <c r="D508">
        <v>2019</v>
      </c>
      <c r="E508" t="s">
        <v>118</v>
      </c>
      <c r="F508" t="s">
        <v>107</v>
      </c>
      <c r="G508" t="s">
        <v>51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152</v>
      </c>
      <c r="B509" t="s">
        <v>27</v>
      </c>
      <c r="C509" t="s">
        <v>52</v>
      </c>
      <c r="D509">
        <v>2019</v>
      </c>
      <c r="E509" t="s">
        <v>118</v>
      </c>
      <c r="F509" t="s">
        <v>107</v>
      </c>
      <c r="G509" t="s">
        <v>52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152</v>
      </c>
      <c r="B510" t="s">
        <v>27</v>
      </c>
      <c r="C510" t="s">
        <v>29</v>
      </c>
      <c r="D510">
        <v>2019</v>
      </c>
      <c r="E510" t="s">
        <v>118</v>
      </c>
      <c r="F510" t="s">
        <v>107</v>
      </c>
      <c r="G510" t="s">
        <v>29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152</v>
      </c>
      <c r="B511" t="s">
        <v>27</v>
      </c>
      <c r="C511" t="s">
        <v>30</v>
      </c>
      <c r="D511">
        <v>2019</v>
      </c>
      <c r="E511" t="s">
        <v>118</v>
      </c>
      <c r="F511" t="s">
        <v>107</v>
      </c>
      <c r="G511" t="s">
        <v>30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152</v>
      </c>
      <c r="B512" t="s">
        <v>27</v>
      </c>
      <c r="C512" t="s">
        <v>54</v>
      </c>
      <c r="D512">
        <v>2019</v>
      </c>
      <c r="E512" t="s">
        <v>118</v>
      </c>
      <c r="F512" t="s">
        <v>107</v>
      </c>
      <c r="G512" t="s">
        <v>54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152</v>
      </c>
      <c r="B513" t="s">
        <v>27</v>
      </c>
      <c r="C513" t="s">
        <v>53</v>
      </c>
      <c r="D513">
        <v>2019</v>
      </c>
      <c r="E513" t="s">
        <v>118</v>
      </c>
      <c r="F513" t="s">
        <v>107</v>
      </c>
      <c r="G513" t="s">
        <v>53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152</v>
      </c>
      <c r="B514" t="s">
        <v>27</v>
      </c>
      <c r="C514" t="s">
        <v>40</v>
      </c>
      <c r="D514">
        <v>2019</v>
      </c>
      <c r="E514" t="s">
        <v>118</v>
      </c>
      <c r="F514" t="s">
        <v>107</v>
      </c>
      <c r="G514" t="s">
        <v>40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152</v>
      </c>
      <c r="B515" t="s">
        <v>27</v>
      </c>
      <c r="C515" t="s">
        <v>79</v>
      </c>
      <c r="D515">
        <v>2019</v>
      </c>
      <c r="E515" t="s">
        <v>118</v>
      </c>
      <c r="F515" t="s">
        <v>107</v>
      </c>
      <c r="G515" t="s">
        <v>79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152</v>
      </c>
      <c r="B516" t="s">
        <v>27</v>
      </c>
      <c r="C516" t="s">
        <v>74</v>
      </c>
      <c r="D516">
        <v>2019</v>
      </c>
      <c r="E516" t="s">
        <v>118</v>
      </c>
      <c r="F516" t="s">
        <v>107</v>
      </c>
      <c r="G516" t="s">
        <v>51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152</v>
      </c>
      <c r="B517" t="s">
        <v>27</v>
      </c>
      <c r="C517" t="s">
        <v>77</v>
      </c>
      <c r="D517">
        <v>2019</v>
      </c>
      <c r="E517" t="s">
        <v>118</v>
      </c>
      <c r="F517" t="s">
        <v>107</v>
      </c>
      <c r="G517" t="s">
        <v>77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152</v>
      </c>
      <c r="B518" t="s">
        <v>27</v>
      </c>
      <c r="C518" t="s">
        <v>64</v>
      </c>
      <c r="D518">
        <v>2019</v>
      </c>
      <c r="E518" t="s">
        <v>118</v>
      </c>
      <c r="F518" t="s">
        <v>107</v>
      </c>
      <c r="G518" t="s">
        <v>64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152</v>
      </c>
      <c r="B519" t="s">
        <v>27</v>
      </c>
      <c r="C519" t="s">
        <v>119</v>
      </c>
      <c r="D519">
        <v>2019</v>
      </c>
      <c r="E519" t="s">
        <v>118</v>
      </c>
      <c r="F519" t="s">
        <v>107</v>
      </c>
      <c r="G519" t="s">
        <v>52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152</v>
      </c>
      <c r="B520" t="s">
        <v>27</v>
      </c>
      <c r="C520" t="s">
        <v>28</v>
      </c>
      <c r="D520">
        <v>2030</v>
      </c>
      <c r="E520" t="s">
        <v>118</v>
      </c>
      <c r="F520" t="s">
        <v>107</v>
      </c>
      <c r="G520" t="s">
        <v>51</v>
      </c>
      <c r="H520">
        <v>591174.67897070025</v>
      </c>
      <c r="I520">
        <v>4144134.4995846087</v>
      </c>
      <c r="J520">
        <v>1438905.6602732698</v>
      </c>
      <c r="K520">
        <v>1438905.6602732698</v>
      </c>
    </row>
    <row r="521" spans="1:11" x14ac:dyDescent="0.25">
      <c r="A521" t="s">
        <v>152</v>
      </c>
      <c r="B521" t="s">
        <v>27</v>
      </c>
      <c r="C521" t="s">
        <v>33</v>
      </c>
      <c r="D521">
        <v>2030</v>
      </c>
      <c r="E521" t="s">
        <v>118</v>
      </c>
      <c r="F521" t="s">
        <v>107</v>
      </c>
      <c r="G521" t="s">
        <v>51</v>
      </c>
      <c r="H521">
        <v>175910.51423030594</v>
      </c>
      <c r="I521">
        <v>679014.58492898103</v>
      </c>
      <c r="J521">
        <v>214442.00604046645</v>
      </c>
      <c r="K521">
        <v>214442.00604046645</v>
      </c>
    </row>
    <row r="522" spans="1:11" x14ac:dyDescent="0.25">
      <c r="A522" t="s">
        <v>152</v>
      </c>
      <c r="B522" t="s">
        <v>27</v>
      </c>
      <c r="C522" t="s">
        <v>71</v>
      </c>
      <c r="D522">
        <v>2030</v>
      </c>
      <c r="E522" t="s">
        <v>118</v>
      </c>
      <c r="F522" t="s">
        <v>107</v>
      </c>
      <c r="G522" t="s">
        <v>51</v>
      </c>
      <c r="H522">
        <v>94198.189455557425</v>
      </c>
      <c r="I522">
        <v>414472.03360445268</v>
      </c>
      <c r="J522">
        <v>235490.5753330419</v>
      </c>
      <c r="K522">
        <v>235490.5753330419</v>
      </c>
    </row>
    <row r="523" spans="1:11" x14ac:dyDescent="0.25">
      <c r="A523" t="s">
        <v>152</v>
      </c>
      <c r="B523" t="s">
        <v>27</v>
      </c>
      <c r="C523" t="s">
        <v>52</v>
      </c>
      <c r="D523">
        <v>2030</v>
      </c>
      <c r="E523" t="s">
        <v>118</v>
      </c>
      <c r="F523" t="s">
        <v>107</v>
      </c>
      <c r="G523" t="s">
        <v>52</v>
      </c>
      <c r="H523">
        <v>129770.05148137324</v>
      </c>
      <c r="I523">
        <v>6439189.9545057407</v>
      </c>
      <c r="J523">
        <v>0</v>
      </c>
      <c r="K523">
        <v>6439189.9545057407</v>
      </c>
    </row>
    <row r="524" spans="1:11" x14ac:dyDescent="0.25">
      <c r="A524" t="s">
        <v>152</v>
      </c>
      <c r="B524" t="s">
        <v>27</v>
      </c>
      <c r="C524" t="s">
        <v>29</v>
      </c>
      <c r="D524">
        <v>2030</v>
      </c>
      <c r="E524" t="s">
        <v>118</v>
      </c>
      <c r="F524" t="s">
        <v>107</v>
      </c>
      <c r="G524" t="s">
        <v>29</v>
      </c>
      <c r="H524">
        <v>43256.683827124412</v>
      </c>
      <c r="I524">
        <v>897576.18941283156</v>
      </c>
      <c r="J524">
        <v>0</v>
      </c>
      <c r="K524">
        <v>897576.18941283156</v>
      </c>
    </row>
    <row r="525" spans="1:11" x14ac:dyDescent="0.25">
      <c r="A525" t="s">
        <v>152</v>
      </c>
      <c r="B525" t="s">
        <v>27</v>
      </c>
      <c r="C525" t="s">
        <v>30</v>
      </c>
      <c r="D525">
        <v>2030</v>
      </c>
      <c r="E525" t="s">
        <v>118</v>
      </c>
      <c r="F525" t="s">
        <v>107</v>
      </c>
      <c r="G525" t="s">
        <v>30</v>
      </c>
      <c r="H525">
        <v>31573.462664665116</v>
      </c>
      <c r="I525">
        <v>1340953.3587791899</v>
      </c>
      <c r="J525">
        <v>0</v>
      </c>
      <c r="K525">
        <v>1340953.3587791899</v>
      </c>
    </row>
    <row r="526" spans="1:11" x14ac:dyDescent="0.25">
      <c r="A526" t="s">
        <v>152</v>
      </c>
      <c r="B526" t="s">
        <v>27</v>
      </c>
      <c r="C526" t="s">
        <v>54</v>
      </c>
      <c r="D526">
        <v>2030</v>
      </c>
      <c r="E526" t="s">
        <v>118</v>
      </c>
      <c r="F526" t="s">
        <v>107</v>
      </c>
      <c r="G526" t="s">
        <v>54</v>
      </c>
      <c r="H526">
        <v>19417.799066386393</v>
      </c>
      <c r="I526">
        <v>1577768.6286180227</v>
      </c>
      <c r="J526">
        <v>0</v>
      </c>
      <c r="K526">
        <v>1577768.6286180227</v>
      </c>
    </row>
    <row r="527" spans="1:11" x14ac:dyDescent="0.25">
      <c r="A527" t="s">
        <v>152</v>
      </c>
      <c r="B527" t="s">
        <v>27</v>
      </c>
      <c r="C527" t="s">
        <v>53</v>
      </c>
      <c r="D527">
        <v>2030</v>
      </c>
      <c r="E527" t="s">
        <v>118</v>
      </c>
      <c r="F527" t="s">
        <v>107</v>
      </c>
      <c r="G527" t="s">
        <v>53</v>
      </c>
      <c r="H527">
        <v>80745.809810632243</v>
      </c>
      <c r="I527">
        <v>3593995.9946712414</v>
      </c>
      <c r="J527">
        <v>0</v>
      </c>
      <c r="K527">
        <v>3593995.9946712414</v>
      </c>
    </row>
    <row r="528" spans="1:11" x14ac:dyDescent="0.25">
      <c r="A528" t="s">
        <v>152</v>
      </c>
      <c r="B528" t="s">
        <v>27</v>
      </c>
      <c r="C528" t="s">
        <v>40</v>
      </c>
      <c r="D528">
        <v>2030</v>
      </c>
      <c r="E528" t="s">
        <v>118</v>
      </c>
      <c r="F528" t="s">
        <v>107</v>
      </c>
      <c r="G528" t="s">
        <v>40</v>
      </c>
      <c r="H528">
        <v>2927.3115483082306</v>
      </c>
      <c r="I528">
        <v>24852.875045136883</v>
      </c>
      <c r="J528">
        <v>0</v>
      </c>
      <c r="K528">
        <v>24852.875045136883</v>
      </c>
    </row>
    <row r="529" spans="1:11" x14ac:dyDescent="0.25">
      <c r="A529" t="s">
        <v>152</v>
      </c>
      <c r="B529" t="s">
        <v>27</v>
      </c>
      <c r="C529" t="s">
        <v>79</v>
      </c>
      <c r="D529">
        <v>2030</v>
      </c>
      <c r="E529" t="s">
        <v>118</v>
      </c>
      <c r="F529" t="s">
        <v>107</v>
      </c>
      <c r="G529" t="s">
        <v>79</v>
      </c>
      <c r="H529">
        <v>40327.730823739985</v>
      </c>
      <c r="I529">
        <v>1201602.7894375001</v>
      </c>
      <c r="J529">
        <v>0</v>
      </c>
      <c r="K529">
        <v>1201602.7894375001</v>
      </c>
    </row>
    <row r="530" spans="1:11" x14ac:dyDescent="0.25">
      <c r="A530" t="s">
        <v>152</v>
      </c>
      <c r="B530" t="s">
        <v>27</v>
      </c>
      <c r="C530" t="s">
        <v>74</v>
      </c>
      <c r="D530">
        <v>2030</v>
      </c>
      <c r="E530" t="s">
        <v>118</v>
      </c>
      <c r="F530" t="s">
        <v>107</v>
      </c>
      <c r="G530" t="s">
        <v>51</v>
      </c>
      <c r="H530">
        <v>58245.567881809096</v>
      </c>
      <c r="I530">
        <v>832262.80932080687</v>
      </c>
      <c r="J530">
        <v>147081.70801514434</v>
      </c>
      <c r="K530">
        <v>147081.70801514434</v>
      </c>
    </row>
    <row r="531" spans="1:11" x14ac:dyDescent="0.25">
      <c r="A531" t="s">
        <v>152</v>
      </c>
      <c r="B531" t="s">
        <v>27</v>
      </c>
      <c r="C531" t="s">
        <v>77</v>
      </c>
      <c r="D531">
        <v>2030</v>
      </c>
      <c r="E531" t="s">
        <v>118</v>
      </c>
      <c r="F531" t="s">
        <v>107</v>
      </c>
      <c r="G531" t="s">
        <v>77</v>
      </c>
      <c r="H531">
        <v>10939.52158012771</v>
      </c>
      <c r="I531">
        <v>546976.07900638552</v>
      </c>
      <c r="J531">
        <v>0</v>
      </c>
      <c r="K531">
        <v>546976.07900638552</v>
      </c>
    </row>
    <row r="532" spans="1:11" x14ac:dyDescent="0.25">
      <c r="A532" t="s">
        <v>152</v>
      </c>
      <c r="B532" t="s">
        <v>27</v>
      </c>
      <c r="C532" t="s">
        <v>64</v>
      </c>
      <c r="D532">
        <v>2030</v>
      </c>
      <c r="E532" t="s">
        <v>118</v>
      </c>
      <c r="F532" t="s">
        <v>107</v>
      </c>
      <c r="G532" t="s">
        <v>64</v>
      </c>
      <c r="H532">
        <v>4206.7261712878571</v>
      </c>
      <c r="I532">
        <v>102603.07734848432</v>
      </c>
      <c r="J532">
        <v>0</v>
      </c>
      <c r="K532">
        <v>102603.07734848432</v>
      </c>
    </row>
    <row r="533" spans="1:11" x14ac:dyDescent="0.25">
      <c r="A533" t="s">
        <v>152</v>
      </c>
      <c r="B533" t="s">
        <v>27</v>
      </c>
      <c r="C533" t="s">
        <v>119</v>
      </c>
      <c r="D533">
        <v>2030</v>
      </c>
      <c r="E533" t="s">
        <v>118</v>
      </c>
      <c r="F533" t="s">
        <v>107</v>
      </c>
      <c r="G533" t="s">
        <v>52</v>
      </c>
      <c r="H533">
        <v>158607.8406994562</v>
      </c>
      <c r="I533">
        <v>2187202.1232455014</v>
      </c>
      <c r="J533">
        <v>0</v>
      </c>
      <c r="K533">
        <v>2187202.1232455014</v>
      </c>
    </row>
    <row r="534" spans="1:11" x14ac:dyDescent="0.25">
      <c r="A534" t="s">
        <v>152</v>
      </c>
      <c r="B534" t="s">
        <v>27</v>
      </c>
      <c r="C534" t="s">
        <v>28</v>
      </c>
      <c r="D534">
        <v>2050</v>
      </c>
      <c r="E534" t="s">
        <v>118</v>
      </c>
      <c r="F534" t="s">
        <v>107</v>
      </c>
      <c r="G534" t="s">
        <v>51</v>
      </c>
      <c r="H534">
        <v>490555.38127637422</v>
      </c>
      <c r="I534">
        <v>3438793.2227473836</v>
      </c>
      <c r="J534">
        <v>1283271.6608987548</v>
      </c>
      <c r="K534">
        <v>1283271.6608987548</v>
      </c>
    </row>
    <row r="535" spans="1:11" x14ac:dyDescent="0.25">
      <c r="A535" t="s">
        <v>152</v>
      </c>
      <c r="B535" t="s">
        <v>27</v>
      </c>
      <c r="C535" t="s">
        <v>33</v>
      </c>
      <c r="D535">
        <v>2050</v>
      </c>
      <c r="E535" t="s">
        <v>118</v>
      </c>
      <c r="F535" t="s">
        <v>107</v>
      </c>
      <c r="G535" t="s">
        <v>51</v>
      </c>
      <c r="H535">
        <v>145970.1378432138</v>
      </c>
      <c r="I535">
        <v>563444.7320748053</v>
      </c>
      <c r="J535">
        <v>191247.6660949043</v>
      </c>
      <c r="K535">
        <v>191247.6660949043</v>
      </c>
    </row>
    <row r="536" spans="1:11" x14ac:dyDescent="0.25">
      <c r="A536" t="s">
        <v>152</v>
      </c>
      <c r="B536" t="s">
        <v>27</v>
      </c>
      <c r="C536" t="s">
        <v>71</v>
      </c>
      <c r="D536">
        <v>2050</v>
      </c>
      <c r="E536" t="s">
        <v>118</v>
      </c>
      <c r="F536" t="s">
        <v>107</v>
      </c>
      <c r="G536" t="s">
        <v>51</v>
      </c>
      <c r="H536">
        <v>78165.439738337198</v>
      </c>
      <c r="I536">
        <v>343927.93484868365</v>
      </c>
      <c r="J536">
        <v>210019.59341534867</v>
      </c>
      <c r="K536">
        <v>210019.59341534867</v>
      </c>
    </row>
    <row r="537" spans="1:11" x14ac:dyDescent="0.25">
      <c r="A537" t="s">
        <v>152</v>
      </c>
      <c r="B537" t="s">
        <v>27</v>
      </c>
      <c r="C537" t="s">
        <v>52</v>
      </c>
      <c r="D537">
        <v>2050</v>
      </c>
      <c r="E537" t="s">
        <v>118</v>
      </c>
      <c r="F537" t="s">
        <v>107</v>
      </c>
      <c r="G537" t="s">
        <v>52</v>
      </c>
      <c r="H537">
        <v>155541.95016080161</v>
      </c>
      <c r="I537">
        <v>7717991.5669789761</v>
      </c>
      <c r="J537">
        <v>0</v>
      </c>
      <c r="K537">
        <v>7717991.5669789761</v>
      </c>
    </row>
    <row r="538" spans="1:11" x14ac:dyDescent="0.25">
      <c r="A538" t="s">
        <v>152</v>
      </c>
      <c r="B538" t="s">
        <v>27</v>
      </c>
      <c r="C538" t="s">
        <v>29</v>
      </c>
      <c r="D538">
        <v>2050</v>
      </c>
      <c r="E538" t="s">
        <v>118</v>
      </c>
      <c r="F538" t="s">
        <v>107</v>
      </c>
      <c r="G538" t="s">
        <v>29</v>
      </c>
      <c r="H538">
        <v>46662.585048240478</v>
      </c>
      <c r="I538">
        <v>968248.63975098997</v>
      </c>
      <c r="J538">
        <v>0</v>
      </c>
      <c r="K538">
        <v>968248.63975098997</v>
      </c>
    </row>
    <row r="539" spans="1:11" x14ac:dyDescent="0.25">
      <c r="A539" t="s">
        <v>152</v>
      </c>
      <c r="B539" t="s">
        <v>27</v>
      </c>
      <c r="C539" t="s">
        <v>30</v>
      </c>
      <c r="D539">
        <v>2050</v>
      </c>
      <c r="E539" t="s">
        <v>118</v>
      </c>
      <c r="F539" t="s">
        <v>107</v>
      </c>
      <c r="G539" t="s">
        <v>30</v>
      </c>
      <c r="H539">
        <v>26199.586292578348</v>
      </c>
      <c r="I539">
        <v>1112719.9956112509</v>
      </c>
      <c r="J539">
        <v>0</v>
      </c>
      <c r="K539">
        <v>1112719.9956112509</v>
      </c>
    </row>
    <row r="540" spans="1:11" x14ac:dyDescent="0.25">
      <c r="A540" t="s">
        <v>152</v>
      </c>
      <c r="B540" t="s">
        <v>27</v>
      </c>
      <c r="C540" t="s">
        <v>54</v>
      </c>
      <c r="D540">
        <v>2050</v>
      </c>
      <c r="E540" t="s">
        <v>118</v>
      </c>
      <c r="F540" t="s">
        <v>107</v>
      </c>
      <c r="G540" t="s">
        <v>54</v>
      </c>
      <c r="H540">
        <v>47859.061587938959</v>
      </c>
      <c r="I540">
        <v>3888727.3326080549</v>
      </c>
      <c r="J540">
        <v>0</v>
      </c>
      <c r="K540">
        <v>3888727.3326080549</v>
      </c>
    </row>
    <row r="541" spans="1:11" x14ac:dyDescent="0.25">
      <c r="A541" t="s">
        <v>152</v>
      </c>
      <c r="B541" t="s">
        <v>27</v>
      </c>
      <c r="C541" t="s">
        <v>53</v>
      </c>
      <c r="D541">
        <v>2050</v>
      </c>
      <c r="E541" t="s">
        <v>118</v>
      </c>
      <c r="F541" t="s">
        <v>107</v>
      </c>
      <c r="G541" t="s">
        <v>53</v>
      </c>
      <c r="H541">
        <v>67002.686223114535</v>
      </c>
      <c r="I541">
        <v>2982289.563790828</v>
      </c>
      <c r="J541">
        <v>0</v>
      </c>
      <c r="K541">
        <v>2982289.563790828</v>
      </c>
    </row>
    <row r="542" spans="1:11" x14ac:dyDescent="0.25">
      <c r="A542" t="s">
        <v>152</v>
      </c>
      <c r="B542" t="s">
        <v>27</v>
      </c>
      <c r="C542" t="s">
        <v>40</v>
      </c>
      <c r="D542">
        <v>2050</v>
      </c>
      <c r="E542" t="s">
        <v>118</v>
      </c>
      <c r="F542" t="s">
        <v>107</v>
      </c>
      <c r="G542" t="s">
        <v>40</v>
      </c>
      <c r="H542">
        <v>2429.0763521795711</v>
      </c>
      <c r="I542">
        <v>20622.858230004564</v>
      </c>
      <c r="J542">
        <v>0</v>
      </c>
      <c r="K542">
        <v>20622.858230004564</v>
      </c>
    </row>
    <row r="543" spans="1:11" x14ac:dyDescent="0.25">
      <c r="A543" t="s">
        <v>152</v>
      </c>
      <c r="B543" t="s">
        <v>27</v>
      </c>
      <c r="C543" t="s">
        <v>79</v>
      </c>
      <c r="D543">
        <v>2050</v>
      </c>
      <c r="E543" t="s">
        <v>118</v>
      </c>
      <c r="F543" t="s">
        <v>107</v>
      </c>
      <c r="G543" t="s">
        <v>79</v>
      </c>
      <c r="H543">
        <v>33463.857763148953</v>
      </c>
      <c r="I543">
        <v>997087.21547676797</v>
      </c>
      <c r="J543">
        <v>0</v>
      </c>
      <c r="K543">
        <v>997087.21547676797</v>
      </c>
    </row>
    <row r="544" spans="1:11" x14ac:dyDescent="0.25">
      <c r="A544" t="s">
        <v>152</v>
      </c>
      <c r="B544" t="s">
        <v>27</v>
      </c>
      <c r="C544" t="s">
        <v>74</v>
      </c>
      <c r="D544">
        <v>2050</v>
      </c>
      <c r="E544" t="s">
        <v>118</v>
      </c>
      <c r="F544" t="s">
        <v>107</v>
      </c>
      <c r="G544" t="s">
        <v>51</v>
      </c>
      <c r="H544">
        <v>48332.037511599701</v>
      </c>
      <c r="I544">
        <v>690609.75422587304</v>
      </c>
      <c r="J544">
        <v>131173.14980648158</v>
      </c>
      <c r="K544">
        <v>131173.14980648158</v>
      </c>
    </row>
    <row r="545" spans="1:11" x14ac:dyDescent="0.25">
      <c r="A545" t="s">
        <v>152</v>
      </c>
      <c r="B545" t="s">
        <v>27</v>
      </c>
      <c r="C545" t="s">
        <v>77</v>
      </c>
      <c r="D545">
        <v>2050</v>
      </c>
      <c r="E545" t="s">
        <v>118</v>
      </c>
      <c r="F545" t="s">
        <v>107</v>
      </c>
      <c r="G545" t="s">
        <v>77</v>
      </c>
      <c r="H545">
        <v>9077.5897050669246</v>
      </c>
      <c r="I545">
        <v>453879.48525334627</v>
      </c>
      <c r="J545">
        <v>0</v>
      </c>
      <c r="K545">
        <v>453879.48525334627</v>
      </c>
    </row>
    <row r="546" spans="1:11" x14ac:dyDescent="0.25">
      <c r="A546" t="s">
        <v>152</v>
      </c>
      <c r="B546" t="s">
        <v>27</v>
      </c>
      <c r="C546" t="s">
        <v>64</v>
      </c>
      <c r="D546">
        <v>2050</v>
      </c>
      <c r="E546" t="s">
        <v>118</v>
      </c>
      <c r="F546" t="s">
        <v>107</v>
      </c>
      <c r="G546" t="s">
        <v>64</v>
      </c>
      <c r="H546">
        <v>3490.7316471578697</v>
      </c>
      <c r="I546">
        <v>85139.796272143169</v>
      </c>
      <c r="J546">
        <v>0</v>
      </c>
      <c r="K546">
        <v>85139.796272143169</v>
      </c>
    </row>
    <row r="547" spans="1:11" x14ac:dyDescent="0.25">
      <c r="A547" t="s">
        <v>152</v>
      </c>
      <c r="B547" t="s">
        <v>27</v>
      </c>
      <c r="C547" t="s">
        <v>119</v>
      </c>
      <c r="D547">
        <v>2050</v>
      </c>
      <c r="E547" t="s">
        <v>118</v>
      </c>
      <c r="F547" t="s">
        <v>107</v>
      </c>
      <c r="G547" t="s">
        <v>52</v>
      </c>
      <c r="H547">
        <v>41876.678889446594</v>
      </c>
      <c r="I547">
        <v>577479.40188546851</v>
      </c>
      <c r="J547">
        <v>0</v>
      </c>
      <c r="K547">
        <v>577479.40188546851</v>
      </c>
    </row>
    <row r="548" spans="1:11" x14ac:dyDescent="0.25">
      <c r="A548" t="s">
        <v>152</v>
      </c>
      <c r="B548" t="s">
        <v>27</v>
      </c>
      <c r="C548" t="s">
        <v>28</v>
      </c>
      <c r="D548">
        <v>2019</v>
      </c>
      <c r="E548" t="s">
        <v>120</v>
      </c>
      <c r="F548" t="s">
        <v>107</v>
      </c>
      <c r="G548" t="s">
        <v>51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152</v>
      </c>
      <c r="B549" t="s">
        <v>27</v>
      </c>
      <c r="C549" t="s">
        <v>33</v>
      </c>
      <c r="D549">
        <v>2019</v>
      </c>
      <c r="E549" t="s">
        <v>120</v>
      </c>
      <c r="F549" t="s">
        <v>107</v>
      </c>
      <c r="G549" t="s">
        <v>51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152</v>
      </c>
      <c r="B550" t="s">
        <v>27</v>
      </c>
      <c r="C550" t="s">
        <v>71</v>
      </c>
      <c r="D550">
        <v>2019</v>
      </c>
      <c r="E550" t="s">
        <v>120</v>
      </c>
      <c r="F550" t="s">
        <v>107</v>
      </c>
      <c r="G550" t="s">
        <v>51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152</v>
      </c>
      <c r="B551" t="s">
        <v>27</v>
      </c>
      <c r="C551" t="s">
        <v>52</v>
      </c>
      <c r="D551">
        <v>2019</v>
      </c>
      <c r="E551" t="s">
        <v>120</v>
      </c>
      <c r="F551" t="s">
        <v>107</v>
      </c>
      <c r="G551" t="s">
        <v>52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152</v>
      </c>
      <c r="B552" t="s">
        <v>27</v>
      </c>
      <c r="C552" t="s">
        <v>29</v>
      </c>
      <c r="D552">
        <v>2019</v>
      </c>
      <c r="E552" t="s">
        <v>120</v>
      </c>
      <c r="F552" t="s">
        <v>107</v>
      </c>
      <c r="G552" t="s">
        <v>29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152</v>
      </c>
      <c r="B553" t="s">
        <v>27</v>
      </c>
      <c r="C553" t="s">
        <v>30</v>
      </c>
      <c r="D553">
        <v>2019</v>
      </c>
      <c r="E553" t="s">
        <v>120</v>
      </c>
      <c r="F553" t="s">
        <v>107</v>
      </c>
      <c r="G553" t="s">
        <v>30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152</v>
      </c>
      <c r="B554" t="s">
        <v>27</v>
      </c>
      <c r="C554" t="s">
        <v>54</v>
      </c>
      <c r="D554">
        <v>2019</v>
      </c>
      <c r="E554" t="s">
        <v>120</v>
      </c>
      <c r="F554" t="s">
        <v>107</v>
      </c>
      <c r="G554" t="s">
        <v>54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152</v>
      </c>
      <c r="B555" t="s">
        <v>27</v>
      </c>
      <c r="C555" t="s">
        <v>53</v>
      </c>
      <c r="D555">
        <v>2019</v>
      </c>
      <c r="E555" t="s">
        <v>120</v>
      </c>
      <c r="F555" t="s">
        <v>107</v>
      </c>
      <c r="G555" t="s">
        <v>53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152</v>
      </c>
      <c r="B556" t="s">
        <v>27</v>
      </c>
      <c r="C556" t="s">
        <v>40</v>
      </c>
      <c r="D556">
        <v>2019</v>
      </c>
      <c r="E556" t="s">
        <v>120</v>
      </c>
      <c r="F556" t="s">
        <v>107</v>
      </c>
      <c r="G556" t="s">
        <v>40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152</v>
      </c>
      <c r="B557" t="s">
        <v>27</v>
      </c>
      <c r="C557" t="s">
        <v>79</v>
      </c>
      <c r="D557">
        <v>2019</v>
      </c>
      <c r="E557" t="s">
        <v>120</v>
      </c>
      <c r="F557" t="s">
        <v>107</v>
      </c>
      <c r="G557" t="s">
        <v>79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152</v>
      </c>
      <c r="B558" t="s">
        <v>27</v>
      </c>
      <c r="C558" t="s">
        <v>74</v>
      </c>
      <c r="D558">
        <v>2019</v>
      </c>
      <c r="E558" t="s">
        <v>120</v>
      </c>
      <c r="F558" t="s">
        <v>107</v>
      </c>
      <c r="G558" t="s">
        <v>51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152</v>
      </c>
      <c r="B559" t="s">
        <v>27</v>
      </c>
      <c r="C559" t="s">
        <v>77</v>
      </c>
      <c r="D559">
        <v>2019</v>
      </c>
      <c r="E559" t="s">
        <v>120</v>
      </c>
      <c r="F559" t="s">
        <v>107</v>
      </c>
      <c r="G559" t="s">
        <v>77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152</v>
      </c>
      <c r="B560" t="s">
        <v>27</v>
      </c>
      <c r="C560" t="s">
        <v>64</v>
      </c>
      <c r="D560">
        <v>2019</v>
      </c>
      <c r="E560" t="s">
        <v>120</v>
      </c>
      <c r="F560" t="s">
        <v>107</v>
      </c>
      <c r="G560" t="s">
        <v>64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152</v>
      </c>
      <c r="B561" t="s">
        <v>27</v>
      </c>
      <c r="C561" t="s">
        <v>119</v>
      </c>
      <c r="D561">
        <v>2019</v>
      </c>
      <c r="E561" t="s">
        <v>120</v>
      </c>
      <c r="F561" t="s">
        <v>107</v>
      </c>
      <c r="G561" t="s">
        <v>52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152</v>
      </c>
      <c r="B562" t="s">
        <v>27</v>
      </c>
      <c r="C562" t="s">
        <v>28</v>
      </c>
      <c r="D562">
        <v>2030</v>
      </c>
      <c r="E562" t="s">
        <v>120</v>
      </c>
      <c r="F562" t="s">
        <v>107</v>
      </c>
      <c r="G562" t="s">
        <v>51</v>
      </c>
      <c r="H562">
        <v>92264.25625554283</v>
      </c>
      <c r="I562">
        <v>433337.53235540801</v>
      </c>
      <c r="J562">
        <v>150461.29129678299</v>
      </c>
      <c r="K562">
        <v>150461.29129678299</v>
      </c>
    </row>
    <row r="563" spans="1:11" x14ac:dyDescent="0.25">
      <c r="A563" t="s">
        <v>152</v>
      </c>
      <c r="B563" t="s">
        <v>27</v>
      </c>
      <c r="C563" t="s">
        <v>33</v>
      </c>
      <c r="D563">
        <v>2030</v>
      </c>
      <c r="E563" t="s">
        <v>120</v>
      </c>
      <c r="F563" t="s">
        <v>107</v>
      </c>
      <c r="G563" t="s">
        <v>51</v>
      </c>
      <c r="H563">
        <v>27454.242105307869</v>
      </c>
      <c r="I563">
        <v>60404.82348009837</v>
      </c>
      <c r="J563">
        <v>19076.661693426464</v>
      </c>
      <c r="K563">
        <v>19076.661693426464</v>
      </c>
    </row>
    <row r="564" spans="1:11" x14ac:dyDescent="0.25">
      <c r="A564" t="s">
        <v>152</v>
      </c>
      <c r="B564" t="s">
        <v>27</v>
      </c>
      <c r="C564" t="s">
        <v>71</v>
      </c>
      <c r="D564">
        <v>2030</v>
      </c>
      <c r="E564" t="s">
        <v>120</v>
      </c>
      <c r="F564" t="s">
        <v>107</v>
      </c>
      <c r="G564" t="s">
        <v>51</v>
      </c>
      <c r="H564">
        <v>14701.451533526306</v>
      </c>
      <c r="I564">
        <v>35577.512711133662</v>
      </c>
      <c r="J564">
        <v>20214.075397084816</v>
      </c>
      <c r="K564">
        <v>20214.075397084816</v>
      </c>
    </row>
    <row r="565" spans="1:11" x14ac:dyDescent="0.25">
      <c r="A565" t="s">
        <v>152</v>
      </c>
      <c r="B565" t="s">
        <v>27</v>
      </c>
      <c r="C565" t="s">
        <v>52</v>
      </c>
      <c r="D565">
        <v>2030</v>
      </c>
      <c r="E565" t="s">
        <v>120</v>
      </c>
      <c r="F565" t="s">
        <v>107</v>
      </c>
      <c r="G565" t="s">
        <v>52</v>
      </c>
      <c r="H565">
        <v>20253.129421948426</v>
      </c>
      <c r="I565">
        <v>783869.01989532309</v>
      </c>
      <c r="J565">
        <v>0</v>
      </c>
      <c r="K565">
        <v>783869.01989532309</v>
      </c>
    </row>
    <row r="566" spans="1:11" x14ac:dyDescent="0.25">
      <c r="A566" t="s">
        <v>152</v>
      </c>
      <c r="B566" t="s">
        <v>27</v>
      </c>
      <c r="C566" t="s">
        <v>29</v>
      </c>
      <c r="D566">
        <v>2030</v>
      </c>
      <c r="E566" t="s">
        <v>120</v>
      </c>
      <c r="F566" t="s">
        <v>107</v>
      </c>
      <c r="G566" t="s">
        <v>29</v>
      </c>
      <c r="H566">
        <v>6751.0431406494745</v>
      </c>
      <c r="I566">
        <v>79847.962746031655</v>
      </c>
      <c r="J566">
        <v>0</v>
      </c>
      <c r="K566">
        <v>79847.962746031655</v>
      </c>
    </row>
    <row r="567" spans="1:11" x14ac:dyDescent="0.25">
      <c r="A567" t="s">
        <v>152</v>
      </c>
      <c r="B567" t="s">
        <v>27</v>
      </c>
      <c r="C567" t="s">
        <v>30</v>
      </c>
      <c r="D567">
        <v>2030</v>
      </c>
      <c r="E567" t="s">
        <v>120</v>
      </c>
      <c r="F567" t="s">
        <v>107</v>
      </c>
      <c r="G567" t="s">
        <v>30</v>
      </c>
      <c r="H567">
        <v>4927.6502424621867</v>
      </c>
      <c r="I567">
        <v>119290.590702958</v>
      </c>
      <c r="J567">
        <v>0</v>
      </c>
      <c r="K567">
        <v>119290.590702958</v>
      </c>
    </row>
    <row r="568" spans="1:11" x14ac:dyDescent="0.25">
      <c r="A568" t="s">
        <v>152</v>
      </c>
      <c r="B568" t="s">
        <v>27</v>
      </c>
      <c r="C568" t="s">
        <v>54</v>
      </c>
      <c r="D568">
        <v>2030</v>
      </c>
      <c r="E568" t="s">
        <v>120</v>
      </c>
      <c r="F568" t="s">
        <v>107</v>
      </c>
      <c r="G568" t="s">
        <v>54</v>
      </c>
      <c r="H568">
        <v>3030.523553713484</v>
      </c>
      <c r="I568">
        <v>140357.5675978692</v>
      </c>
      <c r="J568">
        <v>0</v>
      </c>
      <c r="K568">
        <v>140357.5675978692</v>
      </c>
    </row>
    <row r="569" spans="1:11" x14ac:dyDescent="0.25">
      <c r="A569" t="s">
        <v>152</v>
      </c>
      <c r="B569" t="s">
        <v>27</v>
      </c>
      <c r="C569" t="s">
        <v>53</v>
      </c>
      <c r="D569">
        <v>2030</v>
      </c>
      <c r="E569" t="s">
        <v>120</v>
      </c>
      <c r="F569" t="s">
        <v>107</v>
      </c>
      <c r="G569" t="s">
        <v>53</v>
      </c>
      <c r="H569">
        <v>12601.947195879022</v>
      </c>
      <c r="I569">
        <v>465557.51584151742</v>
      </c>
      <c r="J569">
        <v>0</v>
      </c>
      <c r="K569">
        <v>465557.51584151742</v>
      </c>
    </row>
    <row r="570" spans="1:11" x14ac:dyDescent="0.25">
      <c r="A570" t="s">
        <v>152</v>
      </c>
      <c r="B570" t="s">
        <v>27</v>
      </c>
      <c r="C570" t="s">
        <v>40</v>
      </c>
      <c r="D570">
        <v>2030</v>
      </c>
      <c r="E570" t="s">
        <v>120</v>
      </c>
      <c r="F570" t="s">
        <v>107</v>
      </c>
      <c r="G570" t="s">
        <v>40</v>
      </c>
      <c r="H570">
        <v>456.86365204810539</v>
      </c>
      <c r="I570">
        <v>2210.9002713563964</v>
      </c>
      <c r="J570">
        <v>0</v>
      </c>
      <c r="K570">
        <v>2210.9002713563964</v>
      </c>
    </row>
    <row r="571" spans="1:11" x14ac:dyDescent="0.25">
      <c r="A571" t="s">
        <v>152</v>
      </c>
      <c r="B571" t="s">
        <v>27</v>
      </c>
      <c r="C571" t="s">
        <v>79</v>
      </c>
      <c r="D571">
        <v>2030</v>
      </c>
      <c r="E571" t="s">
        <v>120</v>
      </c>
      <c r="F571" t="s">
        <v>107</v>
      </c>
      <c r="G571" t="s">
        <v>79</v>
      </c>
      <c r="H571">
        <v>6293.9233077513272</v>
      </c>
      <c r="I571">
        <v>106894.02849389089</v>
      </c>
      <c r="J571">
        <v>0</v>
      </c>
      <c r="K571">
        <v>106894.02849389089</v>
      </c>
    </row>
    <row r="572" spans="1:11" x14ac:dyDescent="0.25">
      <c r="A572" t="s">
        <v>152</v>
      </c>
      <c r="B572" t="s">
        <v>27</v>
      </c>
      <c r="C572" t="s">
        <v>74</v>
      </c>
      <c r="D572">
        <v>2030</v>
      </c>
      <c r="E572" t="s">
        <v>120</v>
      </c>
      <c r="F572" t="s">
        <v>107</v>
      </c>
      <c r="G572" t="s">
        <v>51</v>
      </c>
      <c r="H572">
        <v>9090.3487445598003</v>
      </c>
      <c r="I572">
        <v>74037.714655764255</v>
      </c>
      <c r="J572">
        <v>13084.320730364572</v>
      </c>
      <c r="K572">
        <v>13084.320730364572</v>
      </c>
    </row>
    <row r="573" spans="1:11" x14ac:dyDescent="0.25">
      <c r="A573" t="s">
        <v>152</v>
      </c>
      <c r="B573" t="s">
        <v>27</v>
      </c>
      <c r="C573" t="s">
        <v>77</v>
      </c>
      <c r="D573">
        <v>2030</v>
      </c>
      <c r="E573" t="s">
        <v>120</v>
      </c>
      <c r="F573" t="s">
        <v>107</v>
      </c>
      <c r="G573" t="s">
        <v>77</v>
      </c>
      <c r="H573">
        <v>1707.3241772453653</v>
      </c>
      <c r="I573">
        <v>48658.739051492907</v>
      </c>
      <c r="J573">
        <v>0</v>
      </c>
      <c r="K573">
        <v>48658.739051492907</v>
      </c>
    </row>
    <row r="574" spans="1:11" x14ac:dyDescent="0.25">
      <c r="A574" t="s">
        <v>152</v>
      </c>
      <c r="B574" t="s">
        <v>27</v>
      </c>
      <c r="C574" t="s">
        <v>64</v>
      </c>
      <c r="D574">
        <v>2030</v>
      </c>
      <c r="E574" t="s">
        <v>120</v>
      </c>
      <c r="F574" t="s">
        <v>107</v>
      </c>
      <c r="G574" t="s">
        <v>64</v>
      </c>
      <c r="H574">
        <v>656.54107875590842</v>
      </c>
      <c r="I574">
        <v>9127.5223144114098</v>
      </c>
      <c r="J574">
        <v>0</v>
      </c>
      <c r="K574">
        <v>9127.5223144114098</v>
      </c>
    </row>
    <row r="575" spans="1:11" x14ac:dyDescent="0.25">
      <c r="A575" t="s">
        <v>152</v>
      </c>
      <c r="B575" t="s">
        <v>27</v>
      </c>
      <c r="C575" t="s">
        <v>119</v>
      </c>
      <c r="D575">
        <v>2030</v>
      </c>
      <c r="E575" t="s">
        <v>120</v>
      </c>
      <c r="F575" t="s">
        <v>107</v>
      </c>
      <c r="G575" t="s">
        <v>52</v>
      </c>
      <c r="H575">
        <v>24753.824849048076</v>
      </c>
      <c r="I575">
        <v>341355.24466837302</v>
      </c>
      <c r="J575">
        <v>0</v>
      </c>
      <c r="K575">
        <v>341355.24466837302</v>
      </c>
    </row>
    <row r="576" spans="1:11" x14ac:dyDescent="0.25">
      <c r="A576" t="s">
        <v>152</v>
      </c>
      <c r="B576" t="s">
        <v>27</v>
      </c>
      <c r="C576" t="s">
        <v>28</v>
      </c>
      <c r="D576">
        <v>2050</v>
      </c>
      <c r="E576" t="s">
        <v>120</v>
      </c>
      <c r="F576" t="s">
        <v>107</v>
      </c>
      <c r="G576" t="s">
        <v>51</v>
      </c>
      <c r="H576">
        <v>104057.20208892788</v>
      </c>
      <c r="I576">
        <v>488725.46105106763</v>
      </c>
      <c r="J576">
        <v>182380.12392773211</v>
      </c>
      <c r="K576">
        <v>182380.12392773211</v>
      </c>
    </row>
    <row r="577" spans="1:11" x14ac:dyDescent="0.25">
      <c r="A577" t="s">
        <v>152</v>
      </c>
      <c r="B577" t="s">
        <v>27</v>
      </c>
      <c r="C577" t="s">
        <v>33</v>
      </c>
      <c r="D577">
        <v>2050</v>
      </c>
      <c r="E577" t="s">
        <v>120</v>
      </c>
      <c r="F577" t="s">
        <v>107</v>
      </c>
      <c r="G577" t="s">
        <v>51</v>
      </c>
      <c r="H577">
        <v>30963.362572802929</v>
      </c>
      <c r="I577">
        <v>68125.590332681008</v>
      </c>
      <c r="J577">
        <v>23123.581446020249</v>
      </c>
      <c r="K577">
        <v>23123.581446020249</v>
      </c>
    </row>
    <row r="578" spans="1:11" x14ac:dyDescent="0.25">
      <c r="A578" t="s">
        <v>152</v>
      </c>
      <c r="B578" t="s">
        <v>27</v>
      </c>
      <c r="C578" t="s">
        <v>71</v>
      </c>
      <c r="D578">
        <v>2050</v>
      </c>
      <c r="E578" t="s">
        <v>120</v>
      </c>
      <c r="F578" t="s">
        <v>107</v>
      </c>
      <c r="G578" t="s">
        <v>51</v>
      </c>
      <c r="H578">
        <v>16580.54782328365</v>
      </c>
      <c r="I578">
        <v>40124.925732346434</v>
      </c>
      <c r="J578">
        <v>24502.28589845735</v>
      </c>
      <c r="K578">
        <v>24502.28589845735</v>
      </c>
    </row>
    <row r="579" spans="1:11" x14ac:dyDescent="0.25">
      <c r="A579" t="s">
        <v>152</v>
      </c>
      <c r="B579" t="s">
        <v>27</v>
      </c>
      <c r="C579" t="s">
        <v>52</v>
      </c>
      <c r="D579">
        <v>2050</v>
      </c>
      <c r="E579" t="s">
        <v>120</v>
      </c>
      <c r="F579" t="s">
        <v>107</v>
      </c>
      <c r="G579" t="s">
        <v>52</v>
      </c>
      <c r="H579">
        <v>32993.747003806406</v>
      </c>
      <c r="I579">
        <v>1276976.7865365217</v>
      </c>
      <c r="J579">
        <v>0</v>
      </c>
      <c r="K579">
        <v>1276976.7865365217</v>
      </c>
    </row>
    <row r="580" spans="1:11" x14ac:dyDescent="0.25">
      <c r="A580" t="s">
        <v>152</v>
      </c>
      <c r="B580" t="s">
        <v>27</v>
      </c>
      <c r="C580" t="s">
        <v>29</v>
      </c>
      <c r="D580">
        <v>2050</v>
      </c>
      <c r="E580" t="s">
        <v>120</v>
      </c>
      <c r="F580" t="s">
        <v>107</v>
      </c>
      <c r="G580" t="s">
        <v>29</v>
      </c>
      <c r="H580">
        <v>9898.1241011419206</v>
      </c>
      <c r="I580">
        <v>117070.06280625607</v>
      </c>
      <c r="J580">
        <v>0</v>
      </c>
      <c r="K580">
        <v>117070.06280625607</v>
      </c>
    </row>
    <row r="581" spans="1:11" x14ac:dyDescent="0.25">
      <c r="A581" t="s">
        <v>152</v>
      </c>
      <c r="B581" t="s">
        <v>27</v>
      </c>
      <c r="C581" t="s">
        <v>30</v>
      </c>
      <c r="D581">
        <v>2050</v>
      </c>
      <c r="E581" t="s">
        <v>120</v>
      </c>
      <c r="F581" t="s">
        <v>107</v>
      </c>
      <c r="G581" t="s">
        <v>30</v>
      </c>
      <c r="H581">
        <v>5557.4880014560131</v>
      </c>
      <c r="I581">
        <v>134537.96310572393</v>
      </c>
      <c r="J581">
        <v>0</v>
      </c>
      <c r="K581">
        <v>134537.96310572393</v>
      </c>
    </row>
    <row r="582" spans="1:11" x14ac:dyDescent="0.25">
      <c r="A582" t="s">
        <v>152</v>
      </c>
      <c r="B582" t="s">
        <v>27</v>
      </c>
      <c r="C582" t="s">
        <v>54</v>
      </c>
      <c r="D582">
        <v>2050</v>
      </c>
      <c r="E582" t="s">
        <v>120</v>
      </c>
      <c r="F582" t="s">
        <v>107</v>
      </c>
      <c r="G582" t="s">
        <v>54</v>
      </c>
      <c r="H582">
        <v>10151.922155017353</v>
      </c>
      <c r="I582">
        <v>470182.48657897377</v>
      </c>
      <c r="J582">
        <v>0</v>
      </c>
      <c r="K582">
        <v>470182.48657897377</v>
      </c>
    </row>
    <row r="583" spans="1:11" x14ac:dyDescent="0.25">
      <c r="A583" t="s">
        <v>152</v>
      </c>
      <c r="B583" t="s">
        <v>27</v>
      </c>
      <c r="C583" t="s">
        <v>53</v>
      </c>
      <c r="D583">
        <v>2050</v>
      </c>
      <c r="E583" t="s">
        <v>120</v>
      </c>
      <c r="F583" t="s">
        <v>107</v>
      </c>
      <c r="G583" t="s">
        <v>53</v>
      </c>
      <c r="H583">
        <v>14212.691017024297</v>
      </c>
      <c r="I583">
        <v>525063.70804923377</v>
      </c>
      <c r="J583">
        <v>0</v>
      </c>
      <c r="K583">
        <v>525063.70804923377</v>
      </c>
    </row>
    <row r="584" spans="1:11" x14ac:dyDescent="0.25">
      <c r="A584" t="s">
        <v>152</v>
      </c>
      <c r="B584" t="s">
        <v>27</v>
      </c>
      <c r="C584" t="s">
        <v>40</v>
      </c>
      <c r="D584">
        <v>2050</v>
      </c>
      <c r="E584" t="s">
        <v>120</v>
      </c>
      <c r="F584" t="s">
        <v>107</v>
      </c>
      <c r="G584" t="s">
        <v>40</v>
      </c>
      <c r="H584">
        <v>515.25862015930295</v>
      </c>
      <c r="I584">
        <v>2493.4910405369151</v>
      </c>
      <c r="J584">
        <v>0</v>
      </c>
      <c r="K584">
        <v>2493.4910405369151</v>
      </c>
    </row>
    <row r="585" spans="1:11" x14ac:dyDescent="0.25">
      <c r="A585" t="s">
        <v>152</v>
      </c>
      <c r="B585" t="s">
        <v>27</v>
      </c>
      <c r="C585" t="s">
        <v>79</v>
      </c>
      <c r="D585">
        <v>2050</v>
      </c>
      <c r="E585" t="s">
        <v>120</v>
      </c>
      <c r="F585" t="s">
        <v>107</v>
      </c>
      <c r="G585" t="s">
        <v>79</v>
      </c>
      <c r="H585">
        <v>7098.3940709709905</v>
      </c>
      <c r="I585">
        <v>120556.90878037285</v>
      </c>
      <c r="J585">
        <v>0</v>
      </c>
      <c r="K585">
        <v>120556.90878037285</v>
      </c>
    </row>
    <row r="586" spans="1:11" x14ac:dyDescent="0.25">
      <c r="A586" t="s">
        <v>152</v>
      </c>
      <c r="B586" t="s">
        <v>27</v>
      </c>
      <c r="C586" t="s">
        <v>74</v>
      </c>
      <c r="D586">
        <v>2050</v>
      </c>
      <c r="E586" t="s">
        <v>120</v>
      </c>
      <c r="F586" t="s">
        <v>107</v>
      </c>
      <c r="G586" t="s">
        <v>51</v>
      </c>
      <c r="H586">
        <v>10252.250381248423</v>
      </c>
      <c r="I586">
        <v>83500.997556401024</v>
      </c>
      <c r="J586">
        <v>15860.026294783684</v>
      </c>
      <c r="K586">
        <v>15860.026294783684</v>
      </c>
    </row>
    <row r="587" spans="1:11" x14ac:dyDescent="0.25">
      <c r="A587" t="s">
        <v>152</v>
      </c>
      <c r="B587" t="s">
        <v>27</v>
      </c>
      <c r="C587" t="s">
        <v>77</v>
      </c>
      <c r="D587">
        <v>2050</v>
      </c>
      <c r="E587" t="s">
        <v>120</v>
      </c>
      <c r="F587" t="s">
        <v>107</v>
      </c>
      <c r="G587" t="s">
        <v>77</v>
      </c>
      <c r="H587">
        <v>1925.5493313778325</v>
      </c>
      <c r="I587">
        <v>54878.155944268219</v>
      </c>
      <c r="J587">
        <v>0</v>
      </c>
      <c r="K587">
        <v>54878.155944268219</v>
      </c>
    </row>
    <row r="588" spans="1:11" x14ac:dyDescent="0.25">
      <c r="A588" t="s">
        <v>152</v>
      </c>
      <c r="B588" t="s">
        <v>27</v>
      </c>
      <c r="C588" t="s">
        <v>64</v>
      </c>
      <c r="D588">
        <v>2050</v>
      </c>
      <c r="E588" t="s">
        <v>120</v>
      </c>
      <c r="F588" t="s">
        <v>107</v>
      </c>
      <c r="G588" t="s">
        <v>64</v>
      </c>
      <c r="H588">
        <v>740.45822818500267</v>
      </c>
      <c r="I588">
        <v>10294.175367450038</v>
      </c>
      <c r="J588">
        <v>0</v>
      </c>
      <c r="K588">
        <v>10294.175367450038</v>
      </c>
    </row>
    <row r="589" spans="1:11" x14ac:dyDescent="0.25">
      <c r="A589" t="s">
        <v>152</v>
      </c>
      <c r="B589" t="s">
        <v>27</v>
      </c>
      <c r="C589" t="s">
        <v>119</v>
      </c>
      <c r="D589">
        <v>2050</v>
      </c>
      <c r="E589" t="s">
        <v>120</v>
      </c>
      <c r="F589" t="s">
        <v>107</v>
      </c>
      <c r="G589" t="s">
        <v>52</v>
      </c>
      <c r="H589">
        <v>8882.931885640186</v>
      </c>
      <c r="I589">
        <v>122495.63070297817</v>
      </c>
      <c r="J589">
        <v>0</v>
      </c>
      <c r="K589">
        <v>122495.63070297817</v>
      </c>
    </row>
    <row r="590" spans="1:11" x14ac:dyDescent="0.25">
      <c r="A590" t="s">
        <v>152</v>
      </c>
      <c r="B590" t="s">
        <v>27</v>
      </c>
      <c r="C590" t="s">
        <v>28</v>
      </c>
      <c r="D590">
        <v>2019</v>
      </c>
      <c r="E590" t="s">
        <v>118</v>
      </c>
      <c r="F590" t="s">
        <v>108</v>
      </c>
      <c r="G590" t="s">
        <v>51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152</v>
      </c>
      <c r="B591" t="s">
        <v>27</v>
      </c>
      <c r="C591" t="s">
        <v>33</v>
      </c>
      <c r="D591">
        <v>2019</v>
      </c>
      <c r="E591" t="s">
        <v>118</v>
      </c>
      <c r="F591" t="s">
        <v>108</v>
      </c>
      <c r="G591" t="s">
        <v>51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152</v>
      </c>
      <c r="B592" t="s">
        <v>27</v>
      </c>
      <c r="C592" t="s">
        <v>71</v>
      </c>
      <c r="D592">
        <v>2019</v>
      </c>
      <c r="E592" t="s">
        <v>118</v>
      </c>
      <c r="F592" t="s">
        <v>108</v>
      </c>
      <c r="G592" t="s">
        <v>51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152</v>
      </c>
      <c r="B593" t="s">
        <v>27</v>
      </c>
      <c r="C593" t="s">
        <v>52</v>
      </c>
      <c r="D593">
        <v>2019</v>
      </c>
      <c r="E593" t="s">
        <v>118</v>
      </c>
      <c r="F593" t="s">
        <v>108</v>
      </c>
      <c r="G593" t="s">
        <v>52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152</v>
      </c>
      <c r="B594" t="s">
        <v>27</v>
      </c>
      <c r="C594" t="s">
        <v>29</v>
      </c>
      <c r="D594">
        <v>2019</v>
      </c>
      <c r="E594" t="s">
        <v>118</v>
      </c>
      <c r="F594" t="s">
        <v>108</v>
      </c>
      <c r="G594" t="s">
        <v>29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152</v>
      </c>
      <c r="B595" t="s">
        <v>27</v>
      </c>
      <c r="C595" t="s">
        <v>30</v>
      </c>
      <c r="D595">
        <v>2019</v>
      </c>
      <c r="E595" t="s">
        <v>118</v>
      </c>
      <c r="F595" t="s">
        <v>108</v>
      </c>
      <c r="G595" t="s">
        <v>30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152</v>
      </c>
      <c r="B596" t="s">
        <v>27</v>
      </c>
      <c r="C596" t="s">
        <v>54</v>
      </c>
      <c r="D596">
        <v>2019</v>
      </c>
      <c r="E596" t="s">
        <v>118</v>
      </c>
      <c r="F596" t="s">
        <v>108</v>
      </c>
      <c r="G596" t="s">
        <v>54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152</v>
      </c>
      <c r="B597" t="s">
        <v>27</v>
      </c>
      <c r="C597" t="s">
        <v>53</v>
      </c>
      <c r="D597">
        <v>2019</v>
      </c>
      <c r="E597" t="s">
        <v>118</v>
      </c>
      <c r="F597" t="s">
        <v>108</v>
      </c>
      <c r="G597" t="s">
        <v>53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152</v>
      </c>
      <c r="B598" t="s">
        <v>27</v>
      </c>
      <c r="C598" t="s">
        <v>40</v>
      </c>
      <c r="D598">
        <v>2019</v>
      </c>
      <c r="E598" t="s">
        <v>118</v>
      </c>
      <c r="F598" t="s">
        <v>108</v>
      </c>
      <c r="G598" t="s">
        <v>40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152</v>
      </c>
      <c r="B599" t="s">
        <v>27</v>
      </c>
      <c r="C599" t="s">
        <v>79</v>
      </c>
      <c r="D599">
        <v>2019</v>
      </c>
      <c r="E599" t="s">
        <v>118</v>
      </c>
      <c r="F599" t="s">
        <v>108</v>
      </c>
      <c r="G599" t="s">
        <v>79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152</v>
      </c>
      <c r="B600" t="s">
        <v>27</v>
      </c>
      <c r="C600" t="s">
        <v>74</v>
      </c>
      <c r="D600">
        <v>2019</v>
      </c>
      <c r="E600" t="s">
        <v>118</v>
      </c>
      <c r="F600" t="s">
        <v>108</v>
      </c>
      <c r="G600" t="s">
        <v>51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152</v>
      </c>
      <c r="B601" t="s">
        <v>27</v>
      </c>
      <c r="C601" t="s">
        <v>77</v>
      </c>
      <c r="D601">
        <v>2019</v>
      </c>
      <c r="E601" t="s">
        <v>118</v>
      </c>
      <c r="F601" t="s">
        <v>108</v>
      </c>
      <c r="G601" t="s">
        <v>77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152</v>
      </c>
      <c r="B602" t="s">
        <v>27</v>
      </c>
      <c r="C602" t="s">
        <v>64</v>
      </c>
      <c r="D602">
        <v>2019</v>
      </c>
      <c r="E602" t="s">
        <v>118</v>
      </c>
      <c r="F602" t="s">
        <v>108</v>
      </c>
      <c r="G602" t="s">
        <v>64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152</v>
      </c>
      <c r="B603" t="s">
        <v>27</v>
      </c>
      <c r="C603" t="s">
        <v>119</v>
      </c>
      <c r="D603">
        <v>2019</v>
      </c>
      <c r="E603" t="s">
        <v>118</v>
      </c>
      <c r="F603" t="s">
        <v>108</v>
      </c>
      <c r="G603" t="s">
        <v>52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152</v>
      </c>
      <c r="B604" t="s">
        <v>27</v>
      </c>
      <c r="C604" t="s">
        <v>28</v>
      </c>
      <c r="D604">
        <v>2030</v>
      </c>
      <c r="E604" t="s">
        <v>118</v>
      </c>
      <c r="F604" t="s">
        <v>108</v>
      </c>
      <c r="G604" t="s">
        <v>51</v>
      </c>
      <c r="H604">
        <v>17989.144058005662</v>
      </c>
      <c r="I604">
        <v>151324.67981594364</v>
      </c>
      <c r="J604">
        <v>52542.198702292866</v>
      </c>
      <c r="K604">
        <v>52542.198702292866</v>
      </c>
    </row>
    <row r="605" spans="1:11" x14ac:dyDescent="0.25">
      <c r="A605" t="s">
        <v>152</v>
      </c>
      <c r="B605" t="s">
        <v>27</v>
      </c>
      <c r="C605" t="s">
        <v>33</v>
      </c>
      <c r="D605">
        <v>2030</v>
      </c>
      <c r="E605" t="s">
        <v>118</v>
      </c>
      <c r="F605" t="s">
        <v>108</v>
      </c>
      <c r="G605" t="s">
        <v>51</v>
      </c>
      <c r="H605">
        <v>1542.1050369777552</v>
      </c>
      <c r="I605">
        <v>7143.0305312809624</v>
      </c>
      <c r="J605">
        <v>2255.8658242906486</v>
      </c>
      <c r="K605">
        <v>2255.8658242906486</v>
      </c>
    </row>
    <row r="606" spans="1:11" x14ac:dyDescent="0.25">
      <c r="A606" t="s">
        <v>152</v>
      </c>
      <c r="B606" t="s">
        <v>27</v>
      </c>
      <c r="C606" t="s">
        <v>71</v>
      </c>
      <c r="D606">
        <v>2030</v>
      </c>
      <c r="E606" t="s">
        <v>118</v>
      </c>
      <c r="F606" t="s">
        <v>108</v>
      </c>
      <c r="G606" t="s">
        <v>51</v>
      </c>
      <c r="H606">
        <v>1651.259855586846</v>
      </c>
      <c r="I606">
        <v>8718.6520374985466</v>
      </c>
      <c r="J606">
        <v>4953.6765281455491</v>
      </c>
      <c r="K606">
        <v>4953.6765281455491</v>
      </c>
    </row>
    <row r="607" spans="1:11" x14ac:dyDescent="0.25">
      <c r="A607" t="s">
        <v>152</v>
      </c>
      <c r="B607" t="s">
        <v>27</v>
      </c>
      <c r="C607" t="s">
        <v>52</v>
      </c>
      <c r="D607">
        <v>2030</v>
      </c>
      <c r="E607" t="s">
        <v>118</v>
      </c>
      <c r="F607" t="s">
        <v>108</v>
      </c>
      <c r="G607" t="s">
        <v>52</v>
      </c>
      <c r="H607">
        <v>15238.408806724705</v>
      </c>
      <c r="I607">
        <v>907355.81398761575</v>
      </c>
      <c r="J607">
        <v>0</v>
      </c>
      <c r="K607">
        <v>907355.81398761575</v>
      </c>
    </row>
    <row r="608" spans="1:11" x14ac:dyDescent="0.25">
      <c r="A608" t="s">
        <v>152</v>
      </c>
      <c r="B608" t="s">
        <v>27</v>
      </c>
      <c r="C608" t="s">
        <v>29</v>
      </c>
      <c r="D608">
        <v>2030</v>
      </c>
      <c r="E608" t="s">
        <v>118</v>
      </c>
      <c r="F608" t="s">
        <v>108</v>
      </c>
      <c r="G608" t="s">
        <v>29</v>
      </c>
      <c r="H608">
        <v>71.270611166506612</v>
      </c>
      <c r="I608">
        <v>1774.6382180460148</v>
      </c>
      <c r="J608">
        <v>0</v>
      </c>
      <c r="K608">
        <v>1774.6382180460148</v>
      </c>
    </row>
    <row r="609" spans="1:11" x14ac:dyDescent="0.25">
      <c r="A609" t="s">
        <v>152</v>
      </c>
      <c r="B609" t="s">
        <v>27</v>
      </c>
      <c r="C609" t="s">
        <v>30</v>
      </c>
      <c r="D609">
        <v>2030</v>
      </c>
      <c r="E609" t="s">
        <v>118</v>
      </c>
      <c r="F609" t="s">
        <v>108</v>
      </c>
      <c r="G609" t="s">
        <v>30</v>
      </c>
      <c r="H609">
        <v>1125.1782236252373</v>
      </c>
      <c r="I609">
        <v>57344.797466919234</v>
      </c>
      <c r="J609">
        <v>0</v>
      </c>
      <c r="K609">
        <v>57344.797466919234</v>
      </c>
    </row>
    <row r="610" spans="1:11" x14ac:dyDescent="0.25">
      <c r="A610" t="s">
        <v>152</v>
      </c>
      <c r="B610" t="s">
        <v>27</v>
      </c>
      <c r="C610" t="s">
        <v>54</v>
      </c>
      <c r="D610">
        <v>2030</v>
      </c>
      <c r="E610" t="s">
        <v>118</v>
      </c>
      <c r="F610" t="s">
        <v>108</v>
      </c>
      <c r="G610" t="s">
        <v>54</v>
      </c>
      <c r="H610">
        <v>29.519410101552374</v>
      </c>
      <c r="I610">
        <v>2878.2746613644977</v>
      </c>
      <c r="J610">
        <v>0</v>
      </c>
      <c r="K610">
        <v>2878.2746613644977</v>
      </c>
    </row>
    <row r="611" spans="1:11" x14ac:dyDescent="0.25">
      <c r="A611" t="s">
        <v>152</v>
      </c>
      <c r="B611" t="s">
        <v>27</v>
      </c>
      <c r="C611" t="s">
        <v>53</v>
      </c>
      <c r="D611">
        <v>2030</v>
      </c>
      <c r="E611" t="s">
        <v>118</v>
      </c>
      <c r="F611" t="s">
        <v>108</v>
      </c>
      <c r="G611" t="s">
        <v>53</v>
      </c>
      <c r="H611">
        <v>3810.512240832039</v>
      </c>
      <c r="I611">
        <v>203527.0798073209</v>
      </c>
      <c r="J611">
        <v>0</v>
      </c>
      <c r="K611">
        <v>203527.0798073209</v>
      </c>
    </row>
    <row r="612" spans="1:11" x14ac:dyDescent="0.25">
      <c r="A612" t="s">
        <v>152</v>
      </c>
      <c r="B612" t="s">
        <v>27</v>
      </c>
      <c r="C612" t="s">
        <v>40</v>
      </c>
      <c r="D612">
        <v>2030</v>
      </c>
      <c r="E612" t="s">
        <v>118</v>
      </c>
      <c r="F612" t="s">
        <v>108</v>
      </c>
      <c r="G612" t="s">
        <v>40</v>
      </c>
      <c r="H612">
        <v>64.915351748399516</v>
      </c>
      <c r="I612">
        <v>661.35760361269433</v>
      </c>
      <c r="J612">
        <v>0</v>
      </c>
      <c r="K612">
        <v>661.35760361269433</v>
      </c>
    </row>
    <row r="613" spans="1:11" x14ac:dyDescent="0.25">
      <c r="A613" t="s">
        <v>152</v>
      </c>
      <c r="B613" t="s">
        <v>27</v>
      </c>
      <c r="C613" t="s">
        <v>79</v>
      </c>
      <c r="D613">
        <v>2030</v>
      </c>
      <c r="E613" t="s">
        <v>118</v>
      </c>
      <c r="F613" t="s">
        <v>108</v>
      </c>
      <c r="G613" t="s">
        <v>79</v>
      </c>
      <c r="H613">
        <v>1148.0865099527102</v>
      </c>
      <c r="I613">
        <v>41049.984951674072</v>
      </c>
      <c r="J613">
        <v>0</v>
      </c>
      <c r="K613">
        <v>41049.984951674072</v>
      </c>
    </row>
    <row r="614" spans="1:11" x14ac:dyDescent="0.25">
      <c r="A614" t="s">
        <v>152</v>
      </c>
      <c r="B614" t="s">
        <v>27</v>
      </c>
      <c r="C614" t="s">
        <v>74</v>
      </c>
      <c r="D614">
        <v>2030</v>
      </c>
      <c r="E614" t="s">
        <v>118</v>
      </c>
      <c r="F614" t="s">
        <v>108</v>
      </c>
      <c r="G614" t="s">
        <v>51</v>
      </c>
      <c r="H614">
        <v>2833.816076318562</v>
      </c>
      <c r="I614">
        <v>48590.403999036746</v>
      </c>
      <c r="J614">
        <v>8587.1428271035584</v>
      </c>
      <c r="K614">
        <v>8587.1428271035584</v>
      </c>
    </row>
    <row r="615" spans="1:11" x14ac:dyDescent="0.25">
      <c r="A615" t="s">
        <v>152</v>
      </c>
      <c r="B615" t="s">
        <v>27</v>
      </c>
      <c r="C615" t="s">
        <v>77</v>
      </c>
      <c r="D615">
        <v>2030</v>
      </c>
      <c r="E615" t="s">
        <v>118</v>
      </c>
      <c r="F615" t="s">
        <v>108</v>
      </c>
      <c r="G615" t="s">
        <v>77</v>
      </c>
      <c r="H615">
        <v>325.58580566036647</v>
      </c>
      <c r="I615">
        <v>19535.148339621988</v>
      </c>
      <c r="J615">
        <v>0</v>
      </c>
      <c r="K615">
        <v>19535.148339621988</v>
      </c>
    </row>
    <row r="616" spans="1:11" x14ac:dyDescent="0.25">
      <c r="A616" t="s">
        <v>152</v>
      </c>
      <c r="B616" t="s">
        <v>27</v>
      </c>
      <c r="C616" t="s">
        <v>64</v>
      </c>
      <c r="D616">
        <v>2030</v>
      </c>
      <c r="E616" t="s">
        <v>118</v>
      </c>
      <c r="F616" t="s">
        <v>108</v>
      </c>
      <c r="G616" t="s">
        <v>64</v>
      </c>
      <c r="H616">
        <v>534.73194997058431</v>
      </c>
      <c r="I616">
        <v>15650.691218651249</v>
      </c>
      <c r="J616">
        <v>0</v>
      </c>
      <c r="K616">
        <v>15650.691218651249</v>
      </c>
    </row>
    <row r="617" spans="1:11" x14ac:dyDescent="0.25">
      <c r="A617" t="s">
        <v>152</v>
      </c>
      <c r="B617" t="s">
        <v>27</v>
      </c>
      <c r="C617" t="s">
        <v>119</v>
      </c>
      <c r="D617">
        <v>2030</v>
      </c>
      <c r="E617" t="s">
        <v>118</v>
      </c>
      <c r="F617" t="s">
        <v>108</v>
      </c>
      <c r="G617" t="s">
        <v>52</v>
      </c>
      <c r="H617">
        <v>15114.23333078555</v>
      </c>
      <c r="I617">
        <v>250110.33315783931</v>
      </c>
      <c r="J617">
        <v>0</v>
      </c>
      <c r="K617">
        <v>250110.33315783931</v>
      </c>
    </row>
    <row r="618" spans="1:11" x14ac:dyDescent="0.25">
      <c r="A618" t="s">
        <v>152</v>
      </c>
      <c r="B618" t="s">
        <v>27</v>
      </c>
      <c r="C618" t="s">
        <v>28</v>
      </c>
      <c r="D618">
        <v>2050</v>
      </c>
      <c r="E618" t="s">
        <v>118</v>
      </c>
      <c r="F618" t="s">
        <v>108</v>
      </c>
      <c r="G618" t="s">
        <v>28</v>
      </c>
      <c r="H618">
        <v>0</v>
      </c>
      <c r="I618">
        <v>0</v>
      </c>
      <c r="J618">
        <v>0</v>
      </c>
      <c r="K618">
        <v>0</v>
      </c>
    </row>
    <row r="619" spans="1:11" x14ac:dyDescent="0.25">
      <c r="A619" t="s">
        <v>152</v>
      </c>
      <c r="B619" t="s">
        <v>27</v>
      </c>
      <c r="C619" t="s">
        <v>33</v>
      </c>
      <c r="D619">
        <v>2050</v>
      </c>
      <c r="E619" t="s">
        <v>118</v>
      </c>
      <c r="F619" t="s">
        <v>108</v>
      </c>
      <c r="G619" t="s">
        <v>33</v>
      </c>
      <c r="H619">
        <v>0</v>
      </c>
      <c r="I619">
        <v>0</v>
      </c>
      <c r="J619">
        <v>0</v>
      </c>
      <c r="K619">
        <v>0</v>
      </c>
    </row>
    <row r="620" spans="1:11" x14ac:dyDescent="0.25">
      <c r="A620" t="s">
        <v>152</v>
      </c>
      <c r="B620" t="s">
        <v>27</v>
      </c>
      <c r="C620" t="s">
        <v>71</v>
      </c>
      <c r="D620">
        <v>2050</v>
      </c>
      <c r="E620" t="s">
        <v>118</v>
      </c>
      <c r="F620" t="s">
        <v>108</v>
      </c>
      <c r="G620" t="s">
        <v>71</v>
      </c>
      <c r="H620">
        <v>0</v>
      </c>
      <c r="I620">
        <v>0</v>
      </c>
      <c r="J620">
        <v>0</v>
      </c>
      <c r="K620">
        <v>0</v>
      </c>
    </row>
    <row r="621" spans="1:11" x14ac:dyDescent="0.25">
      <c r="A621" t="s">
        <v>152</v>
      </c>
      <c r="B621" t="s">
        <v>27</v>
      </c>
      <c r="C621" t="s">
        <v>52</v>
      </c>
      <c r="D621">
        <v>2050</v>
      </c>
      <c r="E621" t="s">
        <v>118</v>
      </c>
      <c r="F621" t="s">
        <v>108</v>
      </c>
      <c r="G621" t="s">
        <v>52</v>
      </c>
      <c r="H621">
        <v>0</v>
      </c>
      <c r="I621">
        <v>0</v>
      </c>
      <c r="J621">
        <v>0</v>
      </c>
      <c r="K621">
        <v>0</v>
      </c>
    </row>
    <row r="622" spans="1:11" x14ac:dyDescent="0.25">
      <c r="A622" t="s">
        <v>152</v>
      </c>
      <c r="B622" t="s">
        <v>27</v>
      </c>
      <c r="C622" t="s">
        <v>29</v>
      </c>
      <c r="D622">
        <v>2050</v>
      </c>
      <c r="E622" t="s">
        <v>118</v>
      </c>
      <c r="F622" t="s">
        <v>108</v>
      </c>
      <c r="G622" t="s">
        <v>29</v>
      </c>
      <c r="H622">
        <v>0</v>
      </c>
      <c r="I622">
        <v>0</v>
      </c>
      <c r="J622">
        <v>0</v>
      </c>
      <c r="K622">
        <v>0</v>
      </c>
    </row>
    <row r="623" spans="1:11" x14ac:dyDescent="0.25">
      <c r="A623" t="s">
        <v>152</v>
      </c>
      <c r="B623" t="s">
        <v>27</v>
      </c>
      <c r="C623" t="s">
        <v>30</v>
      </c>
      <c r="D623">
        <v>2050</v>
      </c>
      <c r="E623" t="s">
        <v>118</v>
      </c>
      <c r="F623" t="s">
        <v>108</v>
      </c>
      <c r="G623" t="s">
        <v>30</v>
      </c>
      <c r="H623">
        <v>0</v>
      </c>
      <c r="I623">
        <v>0</v>
      </c>
      <c r="J623">
        <v>0</v>
      </c>
      <c r="K623">
        <v>0</v>
      </c>
    </row>
    <row r="624" spans="1:11" x14ac:dyDescent="0.25">
      <c r="A624" t="s">
        <v>152</v>
      </c>
      <c r="B624" t="s">
        <v>27</v>
      </c>
      <c r="C624" t="s">
        <v>54</v>
      </c>
      <c r="D624">
        <v>2050</v>
      </c>
      <c r="E624" t="s">
        <v>118</v>
      </c>
      <c r="F624" t="s">
        <v>108</v>
      </c>
      <c r="G624" t="s">
        <v>54</v>
      </c>
      <c r="H624">
        <v>0</v>
      </c>
      <c r="I624">
        <v>0</v>
      </c>
      <c r="J624">
        <v>0</v>
      </c>
      <c r="K624">
        <v>0</v>
      </c>
    </row>
    <row r="625" spans="1:11" x14ac:dyDescent="0.25">
      <c r="A625" t="s">
        <v>152</v>
      </c>
      <c r="B625" t="s">
        <v>27</v>
      </c>
      <c r="C625" t="s">
        <v>53</v>
      </c>
      <c r="D625">
        <v>2050</v>
      </c>
      <c r="E625" t="s">
        <v>118</v>
      </c>
      <c r="F625" t="s">
        <v>108</v>
      </c>
      <c r="G625" t="s">
        <v>53</v>
      </c>
      <c r="H625">
        <v>0</v>
      </c>
      <c r="I625">
        <v>0</v>
      </c>
      <c r="J625">
        <v>0</v>
      </c>
      <c r="K625">
        <v>0</v>
      </c>
    </row>
    <row r="626" spans="1:11" x14ac:dyDescent="0.25">
      <c r="A626" t="s">
        <v>152</v>
      </c>
      <c r="B626" t="s">
        <v>27</v>
      </c>
      <c r="C626" t="s">
        <v>40</v>
      </c>
      <c r="D626">
        <v>2050</v>
      </c>
      <c r="E626" t="s">
        <v>118</v>
      </c>
      <c r="F626" t="s">
        <v>108</v>
      </c>
      <c r="G626" t="s">
        <v>40</v>
      </c>
      <c r="H626">
        <v>0</v>
      </c>
      <c r="I626">
        <v>0</v>
      </c>
      <c r="J626">
        <v>0</v>
      </c>
      <c r="K626">
        <v>0</v>
      </c>
    </row>
    <row r="627" spans="1:11" x14ac:dyDescent="0.25">
      <c r="A627" t="s">
        <v>152</v>
      </c>
      <c r="B627" t="s">
        <v>27</v>
      </c>
      <c r="C627" t="s">
        <v>79</v>
      </c>
      <c r="D627">
        <v>2050</v>
      </c>
      <c r="E627" t="s">
        <v>118</v>
      </c>
      <c r="F627" t="s">
        <v>108</v>
      </c>
      <c r="G627" t="s">
        <v>79</v>
      </c>
      <c r="H627">
        <v>0</v>
      </c>
      <c r="I627">
        <v>0</v>
      </c>
      <c r="J627">
        <v>0</v>
      </c>
      <c r="K627">
        <v>0</v>
      </c>
    </row>
    <row r="628" spans="1:11" x14ac:dyDescent="0.25">
      <c r="A628" t="s">
        <v>152</v>
      </c>
      <c r="B628" t="s">
        <v>27</v>
      </c>
      <c r="C628" t="s">
        <v>74</v>
      </c>
      <c r="D628">
        <v>2050</v>
      </c>
      <c r="E628" t="s">
        <v>118</v>
      </c>
      <c r="F628" t="s">
        <v>108</v>
      </c>
      <c r="G628" t="s">
        <v>74</v>
      </c>
      <c r="H628">
        <v>0</v>
      </c>
      <c r="I628">
        <v>0</v>
      </c>
      <c r="J628">
        <v>0</v>
      </c>
      <c r="K628">
        <v>0</v>
      </c>
    </row>
    <row r="629" spans="1:11" x14ac:dyDescent="0.25">
      <c r="A629" t="s">
        <v>152</v>
      </c>
      <c r="B629" t="s">
        <v>27</v>
      </c>
      <c r="C629" t="s">
        <v>77</v>
      </c>
      <c r="D629">
        <v>2050</v>
      </c>
      <c r="E629" t="s">
        <v>118</v>
      </c>
      <c r="F629" t="s">
        <v>108</v>
      </c>
      <c r="G629" t="s">
        <v>77</v>
      </c>
      <c r="H629">
        <v>0</v>
      </c>
      <c r="I629">
        <v>0</v>
      </c>
      <c r="J629">
        <v>0</v>
      </c>
      <c r="K629">
        <v>0</v>
      </c>
    </row>
    <row r="630" spans="1:11" x14ac:dyDescent="0.25">
      <c r="A630" t="s">
        <v>152</v>
      </c>
      <c r="B630" t="s">
        <v>27</v>
      </c>
      <c r="C630" t="s">
        <v>64</v>
      </c>
      <c r="D630">
        <v>2050</v>
      </c>
      <c r="E630" t="s">
        <v>118</v>
      </c>
      <c r="F630" t="s">
        <v>108</v>
      </c>
      <c r="G630" t="s">
        <v>64</v>
      </c>
      <c r="H630">
        <v>0</v>
      </c>
      <c r="I630">
        <v>0</v>
      </c>
      <c r="J630">
        <v>0</v>
      </c>
      <c r="K630">
        <v>0</v>
      </c>
    </row>
    <row r="631" spans="1:11" x14ac:dyDescent="0.25">
      <c r="A631" t="s">
        <v>152</v>
      </c>
      <c r="B631" t="s">
        <v>27</v>
      </c>
      <c r="C631" t="s">
        <v>119</v>
      </c>
      <c r="D631">
        <v>2050</v>
      </c>
      <c r="E631" t="s">
        <v>118</v>
      </c>
      <c r="F631" t="s">
        <v>108</v>
      </c>
      <c r="G631" t="s">
        <v>52</v>
      </c>
      <c r="H631">
        <v>0</v>
      </c>
      <c r="I631">
        <v>0</v>
      </c>
      <c r="J631">
        <v>0</v>
      </c>
      <c r="K631">
        <v>0</v>
      </c>
    </row>
    <row r="632" spans="1:11" x14ac:dyDescent="0.25">
      <c r="A632" t="s">
        <v>152</v>
      </c>
      <c r="B632" t="s">
        <v>27</v>
      </c>
      <c r="C632" t="s">
        <v>28</v>
      </c>
      <c r="D632">
        <v>2019</v>
      </c>
      <c r="E632" t="s">
        <v>120</v>
      </c>
      <c r="F632" t="s">
        <v>108</v>
      </c>
      <c r="G632" t="s">
        <v>51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152</v>
      </c>
      <c r="B633" t="s">
        <v>27</v>
      </c>
      <c r="C633" t="s">
        <v>33</v>
      </c>
      <c r="D633">
        <v>2019</v>
      </c>
      <c r="E633" t="s">
        <v>120</v>
      </c>
      <c r="F633" t="s">
        <v>108</v>
      </c>
      <c r="G633" t="s">
        <v>51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152</v>
      </c>
      <c r="B634" t="s">
        <v>27</v>
      </c>
      <c r="C634" t="s">
        <v>71</v>
      </c>
      <c r="D634">
        <v>2019</v>
      </c>
      <c r="E634" t="s">
        <v>120</v>
      </c>
      <c r="F634" t="s">
        <v>108</v>
      </c>
      <c r="G634" t="s">
        <v>51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152</v>
      </c>
      <c r="B635" t="s">
        <v>27</v>
      </c>
      <c r="C635" t="s">
        <v>52</v>
      </c>
      <c r="D635">
        <v>2019</v>
      </c>
      <c r="E635" t="s">
        <v>120</v>
      </c>
      <c r="F635" t="s">
        <v>108</v>
      </c>
      <c r="G635" t="s">
        <v>52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152</v>
      </c>
      <c r="B636" t="s">
        <v>27</v>
      </c>
      <c r="C636" t="s">
        <v>29</v>
      </c>
      <c r="D636">
        <v>2019</v>
      </c>
      <c r="E636" t="s">
        <v>120</v>
      </c>
      <c r="F636" t="s">
        <v>108</v>
      </c>
      <c r="G636" t="s">
        <v>29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152</v>
      </c>
      <c r="B637" t="s">
        <v>27</v>
      </c>
      <c r="C637" t="s">
        <v>30</v>
      </c>
      <c r="D637">
        <v>2019</v>
      </c>
      <c r="E637" t="s">
        <v>120</v>
      </c>
      <c r="F637" t="s">
        <v>108</v>
      </c>
      <c r="G637" t="s">
        <v>30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152</v>
      </c>
      <c r="B638" t="s">
        <v>27</v>
      </c>
      <c r="C638" t="s">
        <v>54</v>
      </c>
      <c r="D638">
        <v>2019</v>
      </c>
      <c r="E638" t="s">
        <v>120</v>
      </c>
      <c r="F638" t="s">
        <v>108</v>
      </c>
      <c r="G638" t="s">
        <v>54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152</v>
      </c>
      <c r="B639" t="s">
        <v>27</v>
      </c>
      <c r="C639" t="s">
        <v>53</v>
      </c>
      <c r="D639">
        <v>2019</v>
      </c>
      <c r="E639" t="s">
        <v>120</v>
      </c>
      <c r="F639" t="s">
        <v>108</v>
      </c>
      <c r="G639" t="s">
        <v>53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152</v>
      </c>
      <c r="B640" t="s">
        <v>27</v>
      </c>
      <c r="C640" t="s">
        <v>40</v>
      </c>
      <c r="D640">
        <v>2019</v>
      </c>
      <c r="E640" t="s">
        <v>120</v>
      </c>
      <c r="F640" t="s">
        <v>108</v>
      </c>
      <c r="G640" t="s">
        <v>40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152</v>
      </c>
      <c r="B641" t="s">
        <v>27</v>
      </c>
      <c r="C641" t="s">
        <v>79</v>
      </c>
      <c r="D641">
        <v>2019</v>
      </c>
      <c r="E641" t="s">
        <v>120</v>
      </c>
      <c r="F641" t="s">
        <v>108</v>
      </c>
      <c r="G641" t="s">
        <v>79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152</v>
      </c>
      <c r="B642" t="s">
        <v>27</v>
      </c>
      <c r="C642" t="s">
        <v>74</v>
      </c>
      <c r="D642">
        <v>2019</v>
      </c>
      <c r="E642" t="s">
        <v>120</v>
      </c>
      <c r="F642" t="s">
        <v>108</v>
      </c>
      <c r="G642" t="s">
        <v>51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152</v>
      </c>
      <c r="B643" t="s">
        <v>27</v>
      </c>
      <c r="C643" t="s">
        <v>77</v>
      </c>
      <c r="D643">
        <v>2019</v>
      </c>
      <c r="E643" t="s">
        <v>120</v>
      </c>
      <c r="F643" t="s">
        <v>108</v>
      </c>
      <c r="G643" t="s">
        <v>77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152</v>
      </c>
      <c r="B644" t="s">
        <v>27</v>
      </c>
      <c r="C644" t="s">
        <v>64</v>
      </c>
      <c r="D644">
        <v>2019</v>
      </c>
      <c r="E644" t="s">
        <v>120</v>
      </c>
      <c r="F644" t="s">
        <v>108</v>
      </c>
      <c r="G644" t="s">
        <v>64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152</v>
      </c>
      <c r="B645" t="s">
        <v>27</v>
      </c>
      <c r="C645" t="s">
        <v>119</v>
      </c>
      <c r="D645">
        <v>2019</v>
      </c>
      <c r="E645" t="s">
        <v>120</v>
      </c>
      <c r="F645" t="s">
        <v>108</v>
      </c>
      <c r="G645" t="s">
        <v>52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152</v>
      </c>
      <c r="B646" t="s">
        <v>27</v>
      </c>
      <c r="C646" t="s">
        <v>28</v>
      </c>
      <c r="D646">
        <v>2030</v>
      </c>
      <c r="E646" t="s">
        <v>120</v>
      </c>
      <c r="F646" t="s">
        <v>108</v>
      </c>
      <c r="G646" t="s">
        <v>51</v>
      </c>
      <c r="H646">
        <v>2807.5542749488609</v>
      </c>
      <c r="I646">
        <v>15823.488195782778</v>
      </c>
      <c r="J646">
        <v>5494.1524538987178</v>
      </c>
      <c r="K646">
        <v>5494.1524538987178</v>
      </c>
    </row>
    <row r="647" spans="1:11" x14ac:dyDescent="0.25">
      <c r="A647" t="s">
        <v>152</v>
      </c>
      <c r="B647" t="s">
        <v>27</v>
      </c>
      <c r="C647" t="s">
        <v>33</v>
      </c>
      <c r="D647">
        <v>2030</v>
      </c>
      <c r="E647" t="s">
        <v>120</v>
      </c>
      <c r="F647" t="s">
        <v>108</v>
      </c>
      <c r="G647" t="s">
        <v>51</v>
      </c>
      <c r="H647">
        <v>240.67535259190402</v>
      </c>
      <c r="I647">
        <v>635.44069292724873</v>
      </c>
      <c r="J647">
        <v>200.68078055394847</v>
      </c>
      <c r="K647">
        <v>200.68078055394847</v>
      </c>
    </row>
    <row r="648" spans="1:11" x14ac:dyDescent="0.25">
      <c r="A648" t="s">
        <v>152</v>
      </c>
      <c r="B648" t="s">
        <v>27</v>
      </c>
      <c r="C648" t="s">
        <v>71</v>
      </c>
      <c r="D648">
        <v>2030</v>
      </c>
      <c r="E648" t="s">
        <v>120</v>
      </c>
      <c r="F648" t="s">
        <v>108</v>
      </c>
      <c r="G648" t="s">
        <v>51</v>
      </c>
      <c r="H648">
        <v>257.71107572742682</v>
      </c>
      <c r="I648">
        <v>748.3929639124475</v>
      </c>
      <c r="J648">
        <v>425.21443030613528</v>
      </c>
      <c r="K648">
        <v>425.21443030613528</v>
      </c>
    </row>
    <row r="649" spans="1:11" x14ac:dyDescent="0.25">
      <c r="A649" t="s">
        <v>152</v>
      </c>
      <c r="B649" t="s">
        <v>27</v>
      </c>
      <c r="C649" t="s">
        <v>52</v>
      </c>
      <c r="D649">
        <v>2030</v>
      </c>
      <c r="E649" t="s">
        <v>120</v>
      </c>
      <c r="F649" t="s">
        <v>108</v>
      </c>
      <c r="G649" t="s">
        <v>52</v>
      </c>
      <c r="H649">
        <v>2378.2487733038556</v>
      </c>
      <c r="I649">
        <v>110456.14706693174</v>
      </c>
      <c r="J649">
        <v>0</v>
      </c>
      <c r="K649">
        <v>110456.14706693174</v>
      </c>
    </row>
    <row r="650" spans="1:11" x14ac:dyDescent="0.25">
      <c r="A650" t="s">
        <v>152</v>
      </c>
      <c r="B650" t="s">
        <v>27</v>
      </c>
      <c r="C650" t="s">
        <v>29</v>
      </c>
      <c r="D650">
        <v>2030</v>
      </c>
      <c r="E650" t="s">
        <v>120</v>
      </c>
      <c r="F650" t="s">
        <v>108</v>
      </c>
      <c r="G650" t="s">
        <v>29</v>
      </c>
      <c r="H650">
        <v>11.123158968183114</v>
      </c>
      <c r="I650">
        <v>157.87099523542295</v>
      </c>
      <c r="J650">
        <v>0</v>
      </c>
      <c r="K650">
        <v>157.87099523542295</v>
      </c>
    </row>
    <row r="651" spans="1:11" x14ac:dyDescent="0.25">
      <c r="A651" t="s">
        <v>152</v>
      </c>
      <c r="B651" t="s">
        <v>27</v>
      </c>
      <c r="C651" t="s">
        <v>30</v>
      </c>
      <c r="D651">
        <v>2030</v>
      </c>
      <c r="E651" t="s">
        <v>120</v>
      </c>
      <c r="F651" t="s">
        <v>108</v>
      </c>
      <c r="G651" t="s">
        <v>30</v>
      </c>
      <c r="H651">
        <v>175.60584992995032</v>
      </c>
      <c r="I651">
        <v>5101.3666648317167</v>
      </c>
      <c r="J651">
        <v>0</v>
      </c>
      <c r="K651">
        <v>5101.3666648317167</v>
      </c>
    </row>
    <row r="652" spans="1:11" x14ac:dyDescent="0.25">
      <c r="A652" t="s">
        <v>152</v>
      </c>
      <c r="B652" t="s">
        <v>27</v>
      </c>
      <c r="C652" t="s">
        <v>54</v>
      </c>
      <c r="D652">
        <v>2030</v>
      </c>
      <c r="E652" t="s">
        <v>120</v>
      </c>
      <c r="F652" t="s">
        <v>108</v>
      </c>
      <c r="G652" t="s">
        <v>54</v>
      </c>
      <c r="H652">
        <v>4.6070755649821624</v>
      </c>
      <c r="I652">
        <v>256.04998288092264</v>
      </c>
      <c r="J652">
        <v>0</v>
      </c>
      <c r="K652">
        <v>256.04998288092264</v>
      </c>
    </row>
    <row r="653" spans="1:11" x14ac:dyDescent="0.25">
      <c r="A653" t="s">
        <v>152</v>
      </c>
      <c r="B653" t="s">
        <v>27</v>
      </c>
      <c r="C653" t="s">
        <v>53</v>
      </c>
      <c r="D653">
        <v>2030</v>
      </c>
      <c r="E653" t="s">
        <v>120</v>
      </c>
      <c r="F653" t="s">
        <v>108</v>
      </c>
      <c r="G653" t="s">
        <v>53</v>
      </c>
      <c r="H653">
        <v>594.7042225576015</v>
      </c>
      <c r="I653">
        <v>26364.40380625469</v>
      </c>
      <c r="J653">
        <v>0</v>
      </c>
      <c r="K653">
        <v>26364.40380625469</v>
      </c>
    </row>
    <row r="654" spans="1:11" x14ac:dyDescent="0.25">
      <c r="A654" t="s">
        <v>152</v>
      </c>
      <c r="B654" t="s">
        <v>27</v>
      </c>
      <c r="C654" t="s">
        <v>40</v>
      </c>
      <c r="D654">
        <v>2030</v>
      </c>
      <c r="E654" t="s">
        <v>120</v>
      </c>
      <c r="F654" t="s">
        <v>108</v>
      </c>
      <c r="G654" t="s">
        <v>40</v>
      </c>
      <c r="H654">
        <v>10.131297671715533</v>
      </c>
      <c r="I654">
        <v>58.83406658727958</v>
      </c>
      <c r="J654">
        <v>0</v>
      </c>
      <c r="K654">
        <v>58.83406658727958</v>
      </c>
    </row>
    <row r="655" spans="1:11" x14ac:dyDescent="0.25">
      <c r="A655" t="s">
        <v>152</v>
      </c>
      <c r="B655" t="s">
        <v>27</v>
      </c>
      <c r="C655" t="s">
        <v>79</v>
      </c>
      <c r="D655">
        <v>2030</v>
      </c>
      <c r="E655" t="s">
        <v>120</v>
      </c>
      <c r="F655" t="s">
        <v>108</v>
      </c>
      <c r="G655" t="s">
        <v>79</v>
      </c>
      <c r="H655">
        <v>179.18113161111663</v>
      </c>
      <c r="I655">
        <v>3651.7876786489246</v>
      </c>
      <c r="J655">
        <v>0</v>
      </c>
      <c r="K655">
        <v>3651.7876786489246</v>
      </c>
    </row>
    <row r="656" spans="1:11" x14ac:dyDescent="0.25">
      <c r="A656" t="s">
        <v>152</v>
      </c>
      <c r="B656" t="s">
        <v>27</v>
      </c>
      <c r="C656" t="s">
        <v>74</v>
      </c>
      <c r="D656">
        <v>2030</v>
      </c>
      <c r="E656" t="s">
        <v>120</v>
      </c>
      <c r="F656" t="s">
        <v>108</v>
      </c>
      <c r="G656" t="s">
        <v>51</v>
      </c>
      <c r="H656">
        <v>442.27187318266579</v>
      </c>
      <c r="I656">
        <v>4322.5798702033262</v>
      </c>
      <c r="J656">
        <v>763.90825496603338</v>
      </c>
      <c r="K656">
        <v>763.90825496603338</v>
      </c>
    </row>
    <row r="657" spans="1:11" x14ac:dyDescent="0.25">
      <c r="A657" t="s">
        <v>152</v>
      </c>
      <c r="B657" t="s">
        <v>27</v>
      </c>
      <c r="C657" t="s">
        <v>77</v>
      </c>
      <c r="D657">
        <v>2030</v>
      </c>
      <c r="E657" t="s">
        <v>120</v>
      </c>
      <c r="F657" t="s">
        <v>108</v>
      </c>
      <c r="G657" t="s">
        <v>77</v>
      </c>
      <c r="H657">
        <v>50.813969669536974</v>
      </c>
      <c r="I657">
        <v>1737.8377626981642</v>
      </c>
      <c r="J657">
        <v>0</v>
      </c>
      <c r="K657">
        <v>1737.8377626981642</v>
      </c>
    </row>
    <row r="658" spans="1:11" x14ac:dyDescent="0.25">
      <c r="A658" t="s">
        <v>152</v>
      </c>
      <c r="B658" t="s">
        <v>27</v>
      </c>
      <c r="C658" t="s">
        <v>64</v>
      </c>
      <c r="D658">
        <v>2030</v>
      </c>
      <c r="E658" t="s">
        <v>120</v>
      </c>
      <c r="F658" t="s">
        <v>108</v>
      </c>
      <c r="G658" t="s">
        <v>64</v>
      </c>
      <c r="H658">
        <v>83.455275428935138</v>
      </c>
      <c r="I658">
        <v>1392.2782534973571</v>
      </c>
      <c r="J658">
        <v>0</v>
      </c>
      <c r="K658">
        <v>1392.2782534973571</v>
      </c>
    </row>
    <row r="659" spans="1:11" x14ac:dyDescent="0.25">
      <c r="A659" t="s">
        <v>152</v>
      </c>
      <c r="B659" t="s">
        <v>27</v>
      </c>
      <c r="C659" t="s">
        <v>119</v>
      </c>
      <c r="D659">
        <v>2030</v>
      </c>
      <c r="E659" t="s">
        <v>120</v>
      </c>
      <c r="F659" t="s">
        <v>108</v>
      </c>
      <c r="G659" t="s">
        <v>52</v>
      </c>
      <c r="H659">
        <v>2358.8687857295367</v>
      </c>
      <c r="I659">
        <v>39034.560666252371</v>
      </c>
      <c r="J659">
        <v>0</v>
      </c>
      <c r="K659">
        <v>39034.560666252371</v>
      </c>
    </row>
    <row r="660" spans="1:11" x14ac:dyDescent="0.25">
      <c r="A660" t="s">
        <v>152</v>
      </c>
      <c r="B660" t="s">
        <v>27</v>
      </c>
      <c r="C660" t="s">
        <v>28</v>
      </c>
      <c r="D660">
        <v>2050</v>
      </c>
      <c r="E660" t="s">
        <v>120</v>
      </c>
      <c r="F660" t="s">
        <v>108</v>
      </c>
      <c r="G660" t="s">
        <v>28</v>
      </c>
      <c r="H660">
        <v>0</v>
      </c>
      <c r="I660">
        <v>0</v>
      </c>
      <c r="J660">
        <v>0</v>
      </c>
      <c r="K660">
        <v>0</v>
      </c>
    </row>
    <row r="661" spans="1:11" x14ac:dyDescent="0.25">
      <c r="A661" t="s">
        <v>152</v>
      </c>
      <c r="B661" t="s">
        <v>27</v>
      </c>
      <c r="C661" t="s">
        <v>33</v>
      </c>
      <c r="D661">
        <v>2050</v>
      </c>
      <c r="E661" t="s">
        <v>120</v>
      </c>
      <c r="F661" t="s">
        <v>108</v>
      </c>
      <c r="G661" t="s">
        <v>33</v>
      </c>
      <c r="H661">
        <v>0</v>
      </c>
      <c r="I661">
        <v>0</v>
      </c>
      <c r="J661">
        <v>0</v>
      </c>
      <c r="K661">
        <v>0</v>
      </c>
    </row>
    <row r="662" spans="1:11" x14ac:dyDescent="0.25">
      <c r="A662" t="s">
        <v>152</v>
      </c>
      <c r="B662" t="s">
        <v>27</v>
      </c>
      <c r="C662" t="s">
        <v>71</v>
      </c>
      <c r="D662">
        <v>2050</v>
      </c>
      <c r="E662" t="s">
        <v>120</v>
      </c>
      <c r="F662" t="s">
        <v>108</v>
      </c>
      <c r="G662" t="s">
        <v>71</v>
      </c>
      <c r="H662">
        <v>0</v>
      </c>
      <c r="I662">
        <v>0</v>
      </c>
      <c r="J662">
        <v>0</v>
      </c>
      <c r="K662">
        <v>0</v>
      </c>
    </row>
    <row r="663" spans="1:11" x14ac:dyDescent="0.25">
      <c r="A663" t="s">
        <v>152</v>
      </c>
      <c r="B663" t="s">
        <v>27</v>
      </c>
      <c r="C663" t="s">
        <v>52</v>
      </c>
      <c r="D663">
        <v>2050</v>
      </c>
      <c r="E663" t="s">
        <v>120</v>
      </c>
      <c r="F663" t="s">
        <v>108</v>
      </c>
      <c r="G663" t="s">
        <v>52</v>
      </c>
      <c r="H663">
        <v>0</v>
      </c>
      <c r="I663">
        <v>0</v>
      </c>
      <c r="J663">
        <v>0</v>
      </c>
      <c r="K663">
        <v>0</v>
      </c>
    </row>
    <row r="664" spans="1:11" x14ac:dyDescent="0.25">
      <c r="A664" t="s">
        <v>152</v>
      </c>
      <c r="B664" t="s">
        <v>27</v>
      </c>
      <c r="C664" t="s">
        <v>29</v>
      </c>
      <c r="D664">
        <v>2050</v>
      </c>
      <c r="E664" t="s">
        <v>120</v>
      </c>
      <c r="F664" t="s">
        <v>108</v>
      </c>
      <c r="G664" t="s">
        <v>29</v>
      </c>
      <c r="H664">
        <v>0</v>
      </c>
      <c r="I664">
        <v>0</v>
      </c>
      <c r="J664">
        <v>0</v>
      </c>
      <c r="K664">
        <v>0</v>
      </c>
    </row>
    <row r="665" spans="1:11" x14ac:dyDescent="0.25">
      <c r="A665" t="s">
        <v>152</v>
      </c>
      <c r="B665" t="s">
        <v>27</v>
      </c>
      <c r="C665" t="s">
        <v>30</v>
      </c>
      <c r="D665">
        <v>2050</v>
      </c>
      <c r="E665" t="s">
        <v>120</v>
      </c>
      <c r="F665" t="s">
        <v>108</v>
      </c>
      <c r="G665" t="s">
        <v>30</v>
      </c>
      <c r="H665">
        <v>0</v>
      </c>
      <c r="I665">
        <v>0</v>
      </c>
      <c r="J665">
        <v>0</v>
      </c>
      <c r="K665">
        <v>0</v>
      </c>
    </row>
    <row r="666" spans="1:11" x14ac:dyDescent="0.25">
      <c r="A666" t="s">
        <v>152</v>
      </c>
      <c r="B666" t="s">
        <v>27</v>
      </c>
      <c r="C666" t="s">
        <v>54</v>
      </c>
      <c r="D666">
        <v>2050</v>
      </c>
      <c r="E666" t="s">
        <v>120</v>
      </c>
      <c r="F666" t="s">
        <v>108</v>
      </c>
      <c r="G666" t="s">
        <v>54</v>
      </c>
      <c r="H666">
        <v>0</v>
      </c>
      <c r="I666">
        <v>0</v>
      </c>
      <c r="J666">
        <v>0</v>
      </c>
      <c r="K666">
        <v>0</v>
      </c>
    </row>
    <row r="667" spans="1:11" x14ac:dyDescent="0.25">
      <c r="A667" t="s">
        <v>152</v>
      </c>
      <c r="B667" t="s">
        <v>27</v>
      </c>
      <c r="C667" t="s">
        <v>53</v>
      </c>
      <c r="D667">
        <v>2050</v>
      </c>
      <c r="E667" t="s">
        <v>120</v>
      </c>
      <c r="F667" t="s">
        <v>108</v>
      </c>
      <c r="G667" t="s">
        <v>53</v>
      </c>
      <c r="H667">
        <v>0</v>
      </c>
      <c r="I667">
        <v>0</v>
      </c>
      <c r="J667">
        <v>0</v>
      </c>
      <c r="K667">
        <v>0</v>
      </c>
    </row>
    <row r="668" spans="1:11" x14ac:dyDescent="0.25">
      <c r="A668" t="s">
        <v>152</v>
      </c>
      <c r="B668" t="s">
        <v>27</v>
      </c>
      <c r="C668" t="s">
        <v>40</v>
      </c>
      <c r="D668">
        <v>2050</v>
      </c>
      <c r="E668" t="s">
        <v>120</v>
      </c>
      <c r="F668" t="s">
        <v>108</v>
      </c>
      <c r="G668" t="s">
        <v>40</v>
      </c>
      <c r="H668">
        <v>0</v>
      </c>
      <c r="I668">
        <v>0</v>
      </c>
      <c r="J668">
        <v>0</v>
      </c>
      <c r="K668">
        <v>0</v>
      </c>
    </row>
    <row r="669" spans="1:11" x14ac:dyDescent="0.25">
      <c r="A669" t="s">
        <v>152</v>
      </c>
      <c r="B669" t="s">
        <v>27</v>
      </c>
      <c r="C669" t="s">
        <v>79</v>
      </c>
      <c r="D669">
        <v>2050</v>
      </c>
      <c r="E669" t="s">
        <v>120</v>
      </c>
      <c r="F669" t="s">
        <v>108</v>
      </c>
      <c r="G669" t="s">
        <v>79</v>
      </c>
      <c r="H669">
        <v>0</v>
      </c>
      <c r="I669">
        <v>0</v>
      </c>
      <c r="J669">
        <v>0</v>
      </c>
      <c r="K669">
        <v>0</v>
      </c>
    </row>
    <row r="670" spans="1:11" x14ac:dyDescent="0.25">
      <c r="A670" t="s">
        <v>152</v>
      </c>
      <c r="B670" t="s">
        <v>27</v>
      </c>
      <c r="C670" t="s">
        <v>74</v>
      </c>
      <c r="D670">
        <v>2050</v>
      </c>
      <c r="E670" t="s">
        <v>120</v>
      </c>
      <c r="F670" t="s">
        <v>108</v>
      </c>
      <c r="G670" t="s">
        <v>74</v>
      </c>
      <c r="H670">
        <v>0</v>
      </c>
      <c r="I670">
        <v>0</v>
      </c>
      <c r="J670">
        <v>0</v>
      </c>
      <c r="K670">
        <v>0</v>
      </c>
    </row>
    <row r="671" spans="1:11" x14ac:dyDescent="0.25">
      <c r="A671" t="s">
        <v>152</v>
      </c>
      <c r="B671" t="s">
        <v>27</v>
      </c>
      <c r="C671" t="s">
        <v>77</v>
      </c>
      <c r="D671">
        <v>2050</v>
      </c>
      <c r="E671" t="s">
        <v>120</v>
      </c>
      <c r="F671" t="s">
        <v>108</v>
      </c>
      <c r="G671" t="s">
        <v>77</v>
      </c>
      <c r="H671">
        <v>0</v>
      </c>
      <c r="I671">
        <v>0</v>
      </c>
      <c r="J671">
        <v>0</v>
      </c>
      <c r="K671">
        <v>0</v>
      </c>
    </row>
    <row r="672" spans="1:11" x14ac:dyDescent="0.25">
      <c r="A672" t="s">
        <v>152</v>
      </c>
      <c r="B672" t="s">
        <v>27</v>
      </c>
      <c r="C672" t="s">
        <v>64</v>
      </c>
      <c r="D672">
        <v>2050</v>
      </c>
      <c r="E672" t="s">
        <v>120</v>
      </c>
      <c r="F672" t="s">
        <v>108</v>
      </c>
      <c r="G672" t="s">
        <v>64</v>
      </c>
      <c r="H672">
        <v>0</v>
      </c>
      <c r="I672">
        <v>0</v>
      </c>
      <c r="J672">
        <v>0</v>
      </c>
      <c r="K672">
        <v>0</v>
      </c>
    </row>
    <row r="673" spans="1:11" x14ac:dyDescent="0.25">
      <c r="A673" t="s">
        <v>152</v>
      </c>
      <c r="B673" t="s">
        <v>27</v>
      </c>
      <c r="C673" t="s">
        <v>119</v>
      </c>
      <c r="D673">
        <v>2050</v>
      </c>
      <c r="E673" t="s">
        <v>120</v>
      </c>
      <c r="F673" t="s">
        <v>108</v>
      </c>
      <c r="G673" t="s">
        <v>52</v>
      </c>
      <c r="H673">
        <v>0</v>
      </c>
      <c r="I673">
        <v>0</v>
      </c>
      <c r="J673">
        <v>0</v>
      </c>
      <c r="K673">
        <v>0</v>
      </c>
    </row>
    <row r="674" spans="1:11" x14ac:dyDescent="0.25">
      <c r="A674" t="s">
        <v>152</v>
      </c>
      <c r="B674" t="s">
        <v>27</v>
      </c>
      <c r="C674" t="s">
        <v>28</v>
      </c>
      <c r="D674">
        <v>2019</v>
      </c>
      <c r="E674" t="s">
        <v>118</v>
      </c>
      <c r="F674" t="s">
        <v>109</v>
      </c>
      <c r="G674" t="s">
        <v>51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152</v>
      </c>
      <c r="B675" t="s">
        <v>27</v>
      </c>
      <c r="C675" t="s">
        <v>33</v>
      </c>
      <c r="D675">
        <v>2019</v>
      </c>
      <c r="E675" t="s">
        <v>118</v>
      </c>
      <c r="F675" t="s">
        <v>109</v>
      </c>
      <c r="G675" t="s">
        <v>51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152</v>
      </c>
      <c r="B676" t="s">
        <v>27</v>
      </c>
      <c r="C676" t="s">
        <v>71</v>
      </c>
      <c r="D676">
        <v>2019</v>
      </c>
      <c r="E676" t="s">
        <v>118</v>
      </c>
      <c r="F676" t="s">
        <v>109</v>
      </c>
      <c r="G676" t="s">
        <v>51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152</v>
      </c>
      <c r="B677" t="s">
        <v>27</v>
      </c>
      <c r="C677" t="s">
        <v>52</v>
      </c>
      <c r="D677">
        <v>2019</v>
      </c>
      <c r="E677" t="s">
        <v>118</v>
      </c>
      <c r="F677" t="s">
        <v>109</v>
      </c>
      <c r="G677" t="s">
        <v>52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152</v>
      </c>
      <c r="B678" t="s">
        <v>27</v>
      </c>
      <c r="C678" t="s">
        <v>29</v>
      </c>
      <c r="D678">
        <v>2019</v>
      </c>
      <c r="E678" t="s">
        <v>118</v>
      </c>
      <c r="F678" t="s">
        <v>109</v>
      </c>
      <c r="G678" t="s">
        <v>29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152</v>
      </c>
      <c r="B679" t="s">
        <v>27</v>
      </c>
      <c r="C679" t="s">
        <v>30</v>
      </c>
      <c r="D679">
        <v>2019</v>
      </c>
      <c r="E679" t="s">
        <v>118</v>
      </c>
      <c r="F679" t="s">
        <v>109</v>
      </c>
      <c r="G679" t="s">
        <v>30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152</v>
      </c>
      <c r="B680" t="s">
        <v>27</v>
      </c>
      <c r="C680" t="s">
        <v>54</v>
      </c>
      <c r="D680">
        <v>2019</v>
      </c>
      <c r="E680" t="s">
        <v>118</v>
      </c>
      <c r="F680" t="s">
        <v>109</v>
      </c>
      <c r="G680" t="s">
        <v>54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152</v>
      </c>
      <c r="B681" t="s">
        <v>27</v>
      </c>
      <c r="C681" t="s">
        <v>53</v>
      </c>
      <c r="D681">
        <v>2019</v>
      </c>
      <c r="E681" t="s">
        <v>118</v>
      </c>
      <c r="F681" t="s">
        <v>109</v>
      </c>
      <c r="G681" t="s">
        <v>53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152</v>
      </c>
      <c r="B682" t="s">
        <v>27</v>
      </c>
      <c r="C682" t="s">
        <v>40</v>
      </c>
      <c r="D682">
        <v>2019</v>
      </c>
      <c r="E682" t="s">
        <v>118</v>
      </c>
      <c r="F682" t="s">
        <v>109</v>
      </c>
      <c r="G682" t="s">
        <v>40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152</v>
      </c>
      <c r="B683" t="s">
        <v>27</v>
      </c>
      <c r="C683" t="s">
        <v>79</v>
      </c>
      <c r="D683">
        <v>2019</v>
      </c>
      <c r="E683" t="s">
        <v>118</v>
      </c>
      <c r="F683" t="s">
        <v>109</v>
      </c>
      <c r="G683" t="s">
        <v>79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152</v>
      </c>
      <c r="B684" t="s">
        <v>27</v>
      </c>
      <c r="C684" t="s">
        <v>74</v>
      </c>
      <c r="D684">
        <v>2019</v>
      </c>
      <c r="E684" t="s">
        <v>118</v>
      </c>
      <c r="F684" t="s">
        <v>109</v>
      </c>
      <c r="G684" t="s">
        <v>51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152</v>
      </c>
      <c r="B685" t="s">
        <v>27</v>
      </c>
      <c r="C685" t="s">
        <v>77</v>
      </c>
      <c r="D685">
        <v>2019</v>
      </c>
      <c r="E685" t="s">
        <v>118</v>
      </c>
      <c r="F685" t="s">
        <v>109</v>
      </c>
      <c r="G685" t="s">
        <v>77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152</v>
      </c>
      <c r="B686" t="s">
        <v>27</v>
      </c>
      <c r="C686" t="s">
        <v>64</v>
      </c>
      <c r="D686">
        <v>2019</v>
      </c>
      <c r="E686" t="s">
        <v>118</v>
      </c>
      <c r="F686" t="s">
        <v>109</v>
      </c>
      <c r="G686" t="s">
        <v>64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152</v>
      </c>
      <c r="B687" t="s">
        <v>27</v>
      </c>
      <c r="C687" t="s">
        <v>119</v>
      </c>
      <c r="D687">
        <v>2019</v>
      </c>
      <c r="E687" t="s">
        <v>118</v>
      </c>
      <c r="F687" t="s">
        <v>109</v>
      </c>
      <c r="G687" t="s">
        <v>52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152</v>
      </c>
      <c r="B688" t="s">
        <v>27</v>
      </c>
      <c r="C688" t="s">
        <v>28</v>
      </c>
      <c r="D688">
        <v>2030</v>
      </c>
      <c r="E688" t="s">
        <v>118</v>
      </c>
      <c r="F688" t="s">
        <v>109</v>
      </c>
      <c r="G688" t="s">
        <v>28</v>
      </c>
      <c r="H688">
        <v>0</v>
      </c>
      <c r="I688">
        <v>0</v>
      </c>
      <c r="J688">
        <v>0</v>
      </c>
      <c r="K688">
        <v>0</v>
      </c>
    </row>
    <row r="689" spans="1:11" x14ac:dyDescent="0.25">
      <c r="A689" t="s">
        <v>152</v>
      </c>
      <c r="B689" t="s">
        <v>27</v>
      </c>
      <c r="C689" t="s">
        <v>33</v>
      </c>
      <c r="D689">
        <v>2030</v>
      </c>
      <c r="E689" t="s">
        <v>118</v>
      </c>
      <c r="F689" t="s">
        <v>109</v>
      </c>
      <c r="G689" t="s">
        <v>33</v>
      </c>
      <c r="H689">
        <v>0</v>
      </c>
      <c r="I689">
        <v>0</v>
      </c>
      <c r="J689">
        <v>0</v>
      </c>
      <c r="K689">
        <v>0</v>
      </c>
    </row>
    <row r="690" spans="1:11" x14ac:dyDescent="0.25">
      <c r="A690" t="s">
        <v>152</v>
      </c>
      <c r="B690" t="s">
        <v>27</v>
      </c>
      <c r="C690" t="s">
        <v>71</v>
      </c>
      <c r="D690">
        <v>2030</v>
      </c>
      <c r="E690" t="s">
        <v>118</v>
      </c>
      <c r="F690" t="s">
        <v>109</v>
      </c>
      <c r="G690" t="s">
        <v>71</v>
      </c>
      <c r="H690">
        <v>0</v>
      </c>
      <c r="I690">
        <v>0</v>
      </c>
      <c r="J690">
        <v>0</v>
      </c>
      <c r="K690">
        <v>0</v>
      </c>
    </row>
    <row r="691" spans="1:11" x14ac:dyDescent="0.25">
      <c r="A691" t="s">
        <v>152</v>
      </c>
      <c r="B691" t="s">
        <v>27</v>
      </c>
      <c r="C691" t="s">
        <v>52</v>
      </c>
      <c r="D691">
        <v>2030</v>
      </c>
      <c r="E691" t="s">
        <v>118</v>
      </c>
      <c r="F691" t="s">
        <v>109</v>
      </c>
      <c r="G691" t="s">
        <v>52</v>
      </c>
      <c r="H691">
        <v>0</v>
      </c>
      <c r="I691">
        <v>0</v>
      </c>
      <c r="J691">
        <v>0</v>
      </c>
      <c r="K691">
        <v>0</v>
      </c>
    </row>
    <row r="692" spans="1:11" x14ac:dyDescent="0.25">
      <c r="A692" t="s">
        <v>152</v>
      </c>
      <c r="B692" t="s">
        <v>27</v>
      </c>
      <c r="C692" t="s">
        <v>29</v>
      </c>
      <c r="D692">
        <v>2030</v>
      </c>
      <c r="E692" t="s">
        <v>118</v>
      </c>
      <c r="F692" t="s">
        <v>109</v>
      </c>
      <c r="G692" t="s">
        <v>29</v>
      </c>
      <c r="H692">
        <v>0</v>
      </c>
      <c r="I692">
        <v>0</v>
      </c>
      <c r="J692">
        <v>0</v>
      </c>
      <c r="K692">
        <v>0</v>
      </c>
    </row>
    <row r="693" spans="1:11" x14ac:dyDescent="0.25">
      <c r="A693" t="s">
        <v>152</v>
      </c>
      <c r="B693" t="s">
        <v>27</v>
      </c>
      <c r="C693" t="s">
        <v>30</v>
      </c>
      <c r="D693">
        <v>2030</v>
      </c>
      <c r="E693" t="s">
        <v>118</v>
      </c>
      <c r="F693" t="s">
        <v>109</v>
      </c>
      <c r="G693" t="s">
        <v>30</v>
      </c>
      <c r="H693">
        <v>0</v>
      </c>
      <c r="I693">
        <v>0</v>
      </c>
      <c r="J693">
        <v>0</v>
      </c>
      <c r="K693">
        <v>0</v>
      </c>
    </row>
    <row r="694" spans="1:11" x14ac:dyDescent="0.25">
      <c r="A694" t="s">
        <v>152</v>
      </c>
      <c r="B694" t="s">
        <v>27</v>
      </c>
      <c r="C694" t="s">
        <v>54</v>
      </c>
      <c r="D694">
        <v>2030</v>
      </c>
      <c r="E694" t="s">
        <v>118</v>
      </c>
      <c r="F694" t="s">
        <v>109</v>
      </c>
      <c r="G694" t="s">
        <v>54</v>
      </c>
      <c r="H694">
        <v>0</v>
      </c>
      <c r="I694">
        <v>0</v>
      </c>
      <c r="J694">
        <v>0</v>
      </c>
      <c r="K694">
        <v>0</v>
      </c>
    </row>
    <row r="695" spans="1:11" x14ac:dyDescent="0.25">
      <c r="A695" t="s">
        <v>152</v>
      </c>
      <c r="B695" t="s">
        <v>27</v>
      </c>
      <c r="C695" t="s">
        <v>53</v>
      </c>
      <c r="D695">
        <v>2030</v>
      </c>
      <c r="E695" t="s">
        <v>118</v>
      </c>
      <c r="F695" t="s">
        <v>109</v>
      </c>
      <c r="G695" t="s">
        <v>53</v>
      </c>
      <c r="H695">
        <v>0</v>
      </c>
      <c r="I695">
        <v>0</v>
      </c>
      <c r="J695">
        <v>0</v>
      </c>
      <c r="K695">
        <v>0</v>
      </c>
    </row>
    <row r="696" spans="1:11" x14ac:dyDescent="0.25">
      <c r="A696" t="s">
        <v>152</v>
      </c>
      <c r="B696" t="s">
        <v>27</v>
      </c>
      <c r="C696" t="s">
        <v>40</v>
      </c>
      <c r="D696">
        <v>2030</v>
      </c>
      <c r="E696" t="s">
        <v>118</v>
      </c>
      <c r="F696" t="s">
        <v>109</v>
      </c>
      <c r="G696" t="s">
        <v>40</v>
      </c>
      <c r="H696">
        <v>0</v>
      </c>
      <c r="I696">
        <v>0</v>
      </c>
      <c r="J696">
        <v>0</v>
      </c>
      <c r="K696">
        <v>0</v>
      </c>
    </row>
    <row r="697" spans="1:11" x14ac:dyDescent="0.25">
      <c r="A697" t="s">
        <v>152</v>
      </c>
      <c r="B697" t="s">
        <v>27</v>
      </c>
      <c r="C697" t="s">
        <v>79</v>
      </c>
      <c r="D697">
        <v>2030</v>
      </c>
      <c r="E697" t="s">
        <v>118</v>
      </c>
      <c r="F697" t="s">
        <v>109</v>
      </c>
      <c r="G697" t="s">
        <v>79</v>
      </c>
      <c r="H697">
        <v>0</v>
      </c>
      <c r="I697">
        <v>0</v>
      </c>
      <c r="J697">
        <v>0</v>
      </c>
      <c r="K697">
        <v>0</v>
      </c>
    </row>
    <row r="698" spans="1:11" x14ac:dyDescent="0.25">
      <c r="A698" t="s">
        <v>152</v>
      </c>
      <c r="B698" t="s">
        <v>27</v>
      </c>
      <c r="C698" t="s">
        <v>74</v>
      </c>
      <c r="D698">
        <v>2030</v>
      </c>
      <c r="E698" t="s">
        <v>118</v>
      </c>
      <c r="F698" t="s">
        <v>109</v>
      </c>
      <c r="G698" t="s">
        <v>74</v>
      </c>
      <c r="H698">
        <v>0</v>
      </c>
      <c r="I698">
        <v>0</v>
      </c>
      <c r="J698">
        <v>0</v>
      </c>
      <c r="K698">
        <v>0</v>
      </c>
    </row>
    <row r="699" spans="1:11" x14ac:dyDescent="0.25">
      <c r="A699" t="s">
        <v>152</v>
      </c>
      <c r="B699" t="s">
        <v>27</v>
      </c>
      <c r="C699" t="s">
        <v>77</v>
      </c>
      <c r="D699">
        <v>2030</v>
      </c>
      <c r="E699" t="s">
        <v>118</v>
      </c>
      <c r="F699" t="s">
        <v>109</v>
      </c>
      <c r="G699" t="s">
        <v>77</v>
      </c>
      <c r="H699">
        <v>0</v>
      </c>
      <c r="I699">
        <v>0</v>
      </c>
      <c r="J699">
        <v>0</v>
      </c>
      <c r="K699">
        <v>0</v>
      </c>
    </row>
    <row r="700" spans="1:11" x14ac:dyDescent="0.25">
      <c r="A700" t="s">
        <v>152</v>
      </c>
      <c r="B700" t="s">
        <v>27</v>
      </c>
      <c r="C700" t="s">
        <v>64</v>
      </c>
      <c r="D700">
        <v>2030</v>
      </c>
      <c r="E700" t="s">
        <v>118</v>
      </c>
      <c r="F700" t="s">
        <v>109</v>
      </c>
      <c r="G700" t="s">
        <v>64</v>
      </c>
      <c r="H700">
        <v>0</v>
      </c>
      <c r="I700">
        <v>0</v>
      </c>
      <c r="J700">
        <v>0</v>
      </c>
      <c r="K700">
        <v>0</v>
      </c>
    </row>
    <row r="701" spans="1:11" x14ac:dyDescent="0.25">
      <c r="A701" t="s">
        <v>152</v>
      </c>
      <c r="B701" t="s">
        <v>27</v>
      </c>
      <c r="C701" t="s">
        <v>119</v>
      </c>
      <c r="D701">
        <v>2030</v>
      </c>
      <c r="E701" t="s">
        <v>118</v>
      </c>
      <c r="F701" t="s">
        <v>109</v>
      </c>
      <c r="G701" t="s">
        <v>52</v>
      </c>
      <c r="H701">
        <v>0</v>
      </c>
      <c r="I701">
        <v>0</v>
      </c>
      <c r="J701">
        <v>0</v>
      </c>
      <c r="K701">
        <v>0</v>
      </c>
    </row>
    <row r="702" spans="1:11" x14ac:dyDescent="0.25">
      <c r="A702" t="s">
        <v>152</v>
      </c>
      <c r="B702" t="s">
        <v>27</v>
      </c>
      <c r="C702" t="s">
        <v>28</v>
      </c>
      <c r="D702">
        <v>2050</v>
      </c>
      <c r="E702" t="s">
        <v>118</v>
      </c>
      <c r="F702" t="s">
        <v>109</v>
      </c>
      <c r="G702" t="s">
        <v>28</v>
      </c>
      <c r="H702">
        <v>0</v>
      </c>
      <c r="I702">
        <v>0</v>
      </c>
      <c r="J702">
        <v>0</v>
      </c>
      <c r="K702">
        <v>0</v>
      </c>
    </row>
    <row r="703" spans="1:11" x14ac:dyDescent="0.25">
      <c r="A703" t="s">
        <v>152</v>
      </c>
      <c r="B703" t="s">
        <v>27</v>
      </c>
      <c r="C703" t="s">
        <v>33</v>
      </c>
      <c r="D703">
        <v>2050</v>
      </c>
      <c r="E703" t="s">
        <v>118</v>
      </c>
      <c r="F703" t="s">
        <v>109</v>
      </c>
      <c r="G703" t="s">
        <v>33</v>
      </c>
      <c r="H703">
        <v>0</v>
      </c>
      <c r="I703">
        <v>0</v>
      </c>
      <c r="J703">
        <v>0</v>
      </c>
      <c r="K703">
        <v>0</v>
      </c>
    </row>
    <row r="704" spans="1:11" x14ac:dyDescent="0.25">
      <c r="A704" t="s">
        <v>152</v>
      </c>
      <c r="B704" t="s">
        <v>27</v>
      </c>
      <c r="C704" t="s">
        <v>71</v>
      </c>
      <c r="D704">
        <v>2050</v>
      </c>
      <c r="E704" t="s">
        <v>118</v>
      </c>
      <c r="F704" t="s">
        <v>109</v>
      </c>
      <c r="G704" t="s">
        <v>71</v>
      </c>
      <c r="H704">
        <v>0</v>
      </c>
      <c r="I704">
        <v>0</v>
      </c>
      <c r="J704">
        <v>0</v>
      </c>
      <c r="K704">
        <v>0</v>
      </c>
    </row>
    <row r="705" spans="1:11" x14ac:dyDescent="0.25">
      <c r="A705" t="s">
        <v>152</v>
      </c>
      <c r="B705" t="s">
        <v>27</v>
      </c>
      <c r="C705" t="s">
        <v>52</v>
      </c>
      <c r="D705">
        <v>2050</v>
      </c>
      <c r="E705" t="s">
        <v>118</v>
      </c>
      <c r="F705" t="s">
        <v>109</v>
      </c>
      <c r="G705" t="s">
        <v>52</v>
      </c>
      <c r="H705">
        <v>0</v>
      </c>
      <c r="I705">
        <v>0</v>
      </c>
      <c r="J705">
        <v>0</v>
      </c>
      <c r="K705">
        <v>0</v>
      </c>
    </row>
    <row r="706" spans="1:11" x14ac:dyDescent="0.25">
      <c r="A706" t="s">
        <v>152</v>
      </c>
      <c r="B706" t="s">
        <v>27</v>
      </c>
      <c r="C706" t="s">
        <v>29</v>
      </c>
      <c r="D706">
        <v>2050</v>
      </c>
      <c r="E706" t="s">
        <v>118</v>
      </c>
      <c r="F706" t="s">
        <v>109</v>
      </c>
      <c r="G706" t="s">
        <v>29</v>
      </c>
      <c r="H706">
        <v>0</v>
      </c>
      <c r="I706">
        <v>0</v>
      </c>
      <c r="J706">
        <v>0</v>
      </c>
      <c r="K706">
        <v>0</v>
      </c>
    </row>
    <row r="707" spans="1:11" x14ac:dyDescent="0.25">
      <c r="A707" t="s">
        <v>152</v>
      </c>
      <c r="B707" t="s">
        <v>27</v>
      </c>
      <c r="C707" t="s">
        <v>30</v>
      </c>
      <c r="D707">
        <v>2050</v>
      </c>
      <c r="E707" t="s">
        <v>118</v>
      </c>
      <c r="F707" t="s">
        <v>109</v>
      </c>
      <c r="G707" t="s">
        <v>30</v>
      </c>
      <c r="H707">
        <v>0</v>
      </c>
      <c r="I707">
        <v>0</v>
      </c>
      <c r="J707">
        <v>0</v>
      </c>
      <c r="K707">
        <v>0</v>
      </c>
    </row>
    <row r="708" spans="1:11" x14ac:dyDescent="0.25">
      <c r="A708" t="s">
        <v>152</v>
      </c>
      <c r="B708" t="s">
        <v>27</v>
      </c>
      <c r="C708" t="s">
        <v>54</v>
      </c>
      <c r="D708">
        <v>2050</v>
      </c>
      <c r="E708" t="s">
        <v>118</v>
      </c>
      <c r="F708" t="s">
        <v>109</v>
      </c>
      <c r="G708" t="s">
        <v>54</v>
      </c>
      <c r="H708">
        <v>0</v>
      </c>
      <c r="I708">
        <v>0</v>
      </c>
      <c r="J708">
        <v>0</v>
      </c>
      <c r="K708">
        <v>0</v>
      </c>
    </row>
    <row r="709" spans="1:11" x14ac:dyDescent="0.25">
      <c r="A709" t="s">
        <v>152</v>
      </c>
      <c r="B709" t="s">
        <v>27</v>
      </c>
      <c r="C709" t="s">
        <v>53</v>
      </c>
      <c r="D709">
        <v>2050</v>
      </c>
      <c r="E709" t="s">
        <v>118</v>
      </c>
      <c r="F709" t="s">
        <v>109</v>
      </c>
      <c r="G709" t="s">
        <v>53</v>
      </c>
      <c r="H709">
        <v>0</v>
      </c>
      <c r="I709">
        <v>0</v>
      </c>
      <c r="J709">
        <v>0</v>
      </c>
      <c r="K709">
        <v>0</v>
      </c>
    </row>
    <row r="710" spans="1:11" x14ac:dyDescent="0.25">
      <c r="A710" t="s">
        <v>152</v>
      </c>
      <c r="B710" t="s">
        <v>27</v>
      </c>
      <c r="C710" t="s">
        <v>40</v>
      </c>
      <c r="D710">
        <v>2050</v>
      </c>
      <c r="E710" t="s">
        <v>118</v>
      </c>
      <c r="F710" t="s">
        <v>109</v>
      </c>
      <c r="G710" t="s">
        <v>40</v>
      </c>
      <c r="H710">
        <v>0</v>
      </c>
      <c r="I710">
        <v>0</v>
      </c>
      <c r="J710">
        <v>0</v>
      </c>
      <c r="K710">
        <v>0</v>
      </c>
    </row>
    <row r="711" spans="1:11" x14ac:dyDescent="0.25">
      <c r="A711" t="s">
        <v>152</v>
      </c>
      <c r="B711" t="s">
        <v>27</v>
      </c>
      <c r="C711" t="s">
        <v>79</v>
      </c>
      <c r="D711">
        <v>2050</v>
      </c>
      <c r="E711" t="s">
        <v>118</v>
      </c>
      <c r="F711" t="s">
        <v>109</v>
      </c>
      <c r="G711" t="s">
        <v>79</v>
      </c>
      <c r="H711">
        <v>0</v>
      </c>
      <c r="I711">
        <v>0</v>
      </c>
      <c r="J711">
        <v>0</v>
      </c>
      <c r="K711">
        <v>0</v>
      </c>
    </row>
    <row r="712" spans="1:11" x14ac:dyDescent="0.25">
      <c r="A712" t="s">
        <v>152</v>
      </c>
      <c r="B712" t="s">
        <v>27</v>
      </c>
      <c r="C712" t="s">
        <v>74</v>
      </c>
      <c r="D712">
        <v>2050</v>
      </c>
      <c r="E712" t="s">
        <v>118</v>
      </c>
      <c r="F712" t="s">
        <v>109</v>
      </c>
      <c r="G712" t="s">
        <v>74</v>
      </c>
      <c r="H712">
        <v>0</v>
      </c>
      <c r="I712">
        <v>0</v>
      </c>
      <c r="J712">
        <v>0</v>
      </c>
      <c r="K712">
        <v>0</v>
      </c>
    </row>
    <row r="713" spans="1:11" x14ac:dyDescent="0.25">
      <c r="A713" t="s">
        <v>152</v>
      </c>
      <c r="B713" t="s">
        <v>27</v>
      </c>
      <c r="C713" t="s">
        <v>77</v>
      </c>
      <c r="D713">
        <v>2050</v>
      </c>
      <c r="E713" t="s">
        <v>118</v>
      </c>
      <c r="F713" t="s">
        <v>109</v>
      </c>
      <c r="G713" t="s">
        <v>77</v>
      </c>
      <c r="H713">
        <v>0</v>
      </c>
      <c r="I713">
        <v>0</v>
      </c>
      <c r="J713">
        <v>0</v>
      </c>
      <c r="K713">
        <v>0</v>
      </c>
    </row>
    <row r="714" spans="1:11" x14ac:dyDescent="0.25">
      <c r="A714" t="s">
        <v>152</v>
      </c>
      <c r="B714" t="s">
        <v>27</v>
      </c>
      <c r="C714" t="s">
        <v>64</v>
      </c>
      <c r="D714">
        <v>2050</v>
      </c>
      <c r="E714" t="s">
        <v>118</v>
      </c>
      <c r="F714" t="s">
        <v>109</v>
      </c>
      <c r="G714" t="s">
        <v>64</v>
      </c>
      <c r="H714">
        <v>0</v>
      </c>
      <c r="I714">
        <v>0</v>
      </c>
      <c r="J714">
        <v>0</v>
      </c>
      <c r="K714">
        <v>0</v>
      </c>
    </row>
    <row r="715" spans="1:11" x14ac:dyDescent="0.25">
      <c r="A715" t="s">
        <v>152</v>
      </c>
      <c r="B715" t="s">
        <v>27</v>
      </c>
      <c r="C715" t="s">
        <v>119</v>
      </c>
      <c r="D715">
        <v>2050</v>
      </c>
      <c r="E715" t="s">
        <v>118</v>
      </c>
      <c r="F715" t="s">
        <v>109</v>
      </c>
      <c r="G715" t="s">
        <v>52</v>
      </c>
      <c r="H715">
        <v>0</v>
      </c>
      <c r="I715">
        <v>0</v>
      </c>
      <c r="J715">
        <v>0</v>
      </c>
      <c r="K715">
        <v>0</v>
      </c>
    </row>
    <row r="716" spans="1:11" x14ac:dyDescent="0.25">
      <c r="A716" t="s">
        <v>152</v>
      </c>
      <c r="B716" t="s">
        <v>27</v>
      </c>
      <c r="C716" t="s">
        <v>28</v>
      </c>
      <c r="D716">
        <v>2019</v>
      </c>
      <c r="E716" t="s">
        <v>120</v>
      </c>
      <c r="F716" t="s">
        <v>109</v>
      </c>
      <c r="G716" t="s">
        <v>51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152</v>
      </c>
      <c r="B717" t="s">
        <v>27</v>
      </c>
      <c r="C717" t="s">
        <v>33</v>
      </c>
      <c r="D717">
        <v>2019</v>
      </c>
      <c r="E717" t="s">
        <v>120</v>
      </c>
      <c r="F717" t="s">
        <v>109</v>
      </c>
      <c r="G717" t="s">
        <v>51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152</v>
      </c>
      <c r="B718" t="s">
        <v>27</v>
      </c>
      <c r="C718" t="s">
        <v>71</v>
      </c>
      <c r="D718">
        <v>2019</v>
      </c>
      <c r="E718" t="s">
        <v>120</v>
      </c>
      <c r="F718" t="s">
        <v>109</v>
      </c>
      <c r="G718" t="s">
        <v>51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152</v>
      </c>
      <c r="B719" t="s">
        <v>27</v>
      </c>
      <c r="C719" t="s">
        <v>52</v>
      </c>
      <c r="D719">
        <v>2019</v>
      </c>
      <c r="E719" t="s">
        <v>120</v>
      </c>
      <c r="F719" t="s">
        <v>109</v>
      </c>
      <c r="G719" t="s">
        <v>52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152</v>
      </c>
      <c r="B720" t="s">
        <v>27</v>
      </c>
      <c r="C720" t="s">
        <v>29</v>
      </c>
      <c r="D720">
        <v>2019</v>
      </c>
      <c r="E720" t="s">
        <v>120</v>
      </c>
      <c r="F720" t="s">
        <v>109</v>
      </c>
      <c r="G720" t="s">
        <v>29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152</v>
      </c>
      <c r="B721" t="s">
        <v>27</v>
      </c>
      <c r="C721" t="s">
        <v>30</v>
      </c>
      <c r="D721">
        <v>2019</v>
      </c>
      <c r="E721" t="s">
        <v>120</v>
      </c>
      <c r="F721" t="s">
        <v>109</v>
      </c>
      <c r="G721" t="s">
        <v>30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152</v>
      </c>
      <c r="B722" t="s">
        <v>27</v>
      </c>
      <c r="C722" t="s">
        <v>54</v>
      </c>
      <c r="D722">
        <v>2019</v>
      </c>
      <c r="E722" t="s">
        <v>120</v>
      </c>
      <c r="F722" t="s">
        <v>109</v>
      </c>
      <c r="G722" t="s">
        <v>54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152</v>
      </c>
      <c r="B723" t="s">
        <v>27</v>
      </c>
      <c r="C723" t="s">
        <v>53</v>
      </c>
      <c r="D723">
        <v>2019</v>
      </c>
      <c r="E723" t="s">
        <v>120</v>
      </c>
      <c r="F723" t="s">
        <v>109</v>
      </c>
      <c r="G723" t="s">
        <v>53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152</v>
      </c>
      <c r="B724" t="s">
        <v>27</v>
      </c>
      <c r="C724" t="s">
        <v>40</v>
      </c>
      <c r="D724">
        <v>2019</v>
      </c>
      <c r="E724" t="s">
        <v>120</v>
      </c>
      <c r="F724" t="s">
        <v>109</v>
      </c>
      <c r="G724" t="s">
        <v>40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152</v>
      </c>
      <c r="B725" t="s">
        <v>27</v>
      </c>
      <c r="C725" t="s">
        <v>79</v>
      </c>
      <c r="D725">
        <v>2019</v>
      </c>
      <c r="E725" t="s">
        <v>120</v>
      </c>
      <c r="F725" t="s">
        <v>109</v>
      </c>
      <c r="G725" t="s">
        <v>79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152</v>
      </c>
      <c r="B726" t="s">
        <v>27</v>
      </c>
      <c r="C726" t="s">
        <v>74</v>
      </c>
      <c r="D726">
        <v>2019</v>
      </c>
      <c r="E726" t="s">
        <v>120</v>
      </c>
      <c r="F726" t="s">
        <v>109</v>
      </c>
      <c r="G726" t="s">
        <v>51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152</v>
      </c>
      <c r="B727" t="s">
        <v>27</v>
      </c>
      <c r="C727" t="s">
        <v>77</v>
      </c>
      <c r="D727">
        <v>2019</v>
      </c>
      <c r="E727" t="s">
        <v>120</v>
      </c>
      <c r="F727" t="s">
        <v>109</v>
      </c>
      <c r="G727" t="s">
        <v>77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152</v>
      </c>
      <c r="B728" t="s">
        <v>27</v>
      </c>
      <c r="C728" t="s">
        <v>64</v>
      </c>
      <c r="D728">
        <v>2019</v>
      </c>
      <c r="E728" t="s">
        <v>120</v>
      </c>
      <c r="F728" t="s">
        <v>109</v>
      </c>
      <c r="G728" t="s">
        <v>64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152</v>
      </c>
      <c r="B729" t="s">
        <v>27</v>
      </c>
      <c r="C729" t="s">
        <v>119</v>
      </c>
      <c r="D729">
        <v>2019</v>
      </c>
      <c r="E729" t="s">
        <v>120</v>
      </c>
      <c r="F729" t="s">
        <v>109</v>
      </c>
      <c r="G729" t="s">
        <v>52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152</v>
      </c>
      <c r="B730" t="s">
        <v>27</v>
      </c>
      <c r="C730" t="s">
        <v>28</v>
      </c>
      <c r="D730">
        <v>2030</v>
      </c>
      <c r="E730" t="s">
        <v>120</v>
      </c>
      <c r="F730" t="s">
        <v>109</v>
      </c>
      <c r="G730" t="s">
        <v>28</v>
      </c>
      <c r="H730">
        <v>0</v>
      </c>
      <c r="I730">
        <v>0</v>
      </c>
      <c r="J730">
        <v>0</v>
      </c>
      <c r="K730">
        <v>0</v>
      </c>
    </row>
    <row r="731" spans="1:11" x14ac:dyDescent="0.25">
      <c r="A731" t="s">
        <v>152</v>
      </c>
      <c r="B731" t="s">
        <v>27</v>
      </c>
      <c r="C731" t="s">
        <v>33</v>
      </c>
      <c r="D731">
        <v>2030</v>
      </c>
      <c r="E731" t="s">
        <v>120</v>
      </c>
      <c r="F731" t="s">
        <v>109</v>
      </c>
      <c r="G731" t="s">
        <v>33</v>
      </c>
      <c r="H731">
        <v>0</v>
      </c>
      <c r="I731">
        <v>0</v>
      </c>
      <c r="J731">
        <v>0</v>
      </c>
      <c r="K731">
        <v>0</v>
      </c>
    </row>
    <row r="732" spans="1:11" x14ac:dyDescent="0.25">
      <c r="A732" t="s">
        <v>152</v>
      </c>
      <c r="B732" t="s">
        <v>27</v>
      </c>
      <c r="C732" t="s">
        <v>71</v>
      </c>
      <c r="D732">
        <v>2030</v>
      </c>
      <c r="E732" t="s">
        <v>120</v>
      </c>
      <c r="F732" t="s">
        <v>109</v>
      </c>
      <c r="G732" t="s">
        <v>71</v>
      </c>
      <c r="H732">
        <v>0</v>
      </c>
      <c r="I732">
        <v>0</v>
      </c>
      <c r="J732">
        <v>0</v>
      </c>
      <c r="K732">
        <v>0</v>
      </c>
    </row>
    <row r="733" spans="1:11" x14ac:dyDescent="0.25">
      <c r="A733" t="s">
        <v>152</v>
      </c>
      <c r="B733" t="s">
        <v>27</v>
      </c>
      <c r="C733" t="s">
        <v>52</v>
      </c>
      <c r="D733">
        <v>2030</v>
      </c>
      <c r="E733" t="s">
        <v>120</v>
      </c>
      <c r="F733" t="s">
        <v>109</v>
      </c>
      <c r="G733" t="s">
        <v>52</v>
      </c>
      <c r="H733">
        <v>0</v>
      </c>
      <c r="I733">
        <v>0</v>
      </c>
      <c r="J733">
        <v>0</v>
      </c>
      <c r="K733">
        <v>0</v>
      </c>
    </row>
    <row r="734" spans="1:11" x14ac:dyDescent="0.25">
      <c r="A734" t="s">
        <v>152</v>
      </c>
      <c r="B734" t="s">
        <v>27</v>
      </c>
      <c r="C734" t="s">
        <v>29</v>
      </c>
      <c r="D734">
        <v>2030</v>
      </c>
      <c r="E734" t="s">
        <v>120</v>
      </c>
      <c r="F734" t="s">
        <v>109</v>
      </c>
      <c r="G734" t="s">
        <v>29</v>
      </c>
      <c r="H734">
        <v>0</v>
      </c>
      <c r="I734">
        <v>0</v>
      </c>
      <c r="J734">
        <v>0</v>
      </c>
      <c r="K734">
        <v>0</v>
      </c>
    </row>
    <row r="735" spans="1:11" x14ac:dyDescent="0.25">
      <c r="A735" t="s">
        <v>152</v>
      </c>
      <c r="B735" t="s">
        <v>27</v>
      </c>
      <c r="C735" t="s">
        <v>30</v>
      </c>
      <c r="D735">
        <v>2030</v>
      </c>
      <c r="E735" t="s">
        <v>120</v>
      </c>
      <c r="F735" t="s">
        <v>109</v>
      </c>
      <c r="G735" t="s">
        <v>30</v>
      </c>
      <c r="H735">
        <v>0</v>
      </c>
      <c r="I735">
        <v>0</v>
      </c>
      <c r="J735">
        <v>0</v>
      </c>
      <c r="K735">
        <v>0</v>
      </c>
    </row>
    <row r="736" spans="1:11" x14ac:dyDescent="0.25">
      <c r="A736" t="s">
        <v>152</v>
      </c>
      <c r="B736" t="s">
        <v>27</v>
      </c>
      <c r="C736" t="s">
        <v>54</v>
      </c>
      <c r="D736">
        <v>2030</v>
      </c>
      <c r="E736" t="s">
        <v>120</v>
      </c>
      <c r="F736" t="s">
        <v>109</v>
      </c>
      <c r="G736" t="s">
        <v>54</v>
      </c>
      <c r="H736">
        <v>0</v>
      </c>
      <c r="I736">
        <v>0</v>
      </c>
      <c r="J736">
        <v>0</v>
      </c>
      <c r="K736">
        <v>0</v>
      </c>
    </row>
    <row r="737" spans="1:11" x14ac:dyDescent="0.25">
      <c r="A737" t="s">
        <v>152</v>
      </c>
      <c r="B737" t="s">
        <v>27</v>
      </c>
      <c r="C737" t="s">
        <v>53</v>
      </c>
      <c r="D737">
        <v>2030</v>
      </c>
      <c r="E737" t="s">
        <v>120</v>
      </c>
      <c r="F737" t="s">
        <v>109</v>
      </c>
      <c r="G737" t="s">
        <v>53</v>
      </c>
      <c r="H737">
        <v>0</v>
      </c>
      <c r="I737">
        <v>0</v>
      </c>
      <c r="J737">
        <v>0</v>
      </c>
      <c r="K737">
        <v>0</v>
      </c>
    </row>
    <row r="738" spans="1:11" x14ac:dyDescent="0.25">
      <c r="A738" t="s">
        <v>152</v>
      </c>
      <c r="B738" t="s">
        <v>27</v>
      </c>
      <c r="C738" t="s">
        <v>40</v>
      </c>
      <c r="D738">
        <v>2030</v>
      </c>
      <c r="E738" t="s">
        <v>120</v>
      </c>
      <c r="F738" t="s">
        <v>109</v>
      </c>
      <c r="G738" t="s">
        <v>40</v>
      </c>
      <c r="H738">
        <v>0</v>
      </c>
      <c r="I738">
        <v>0</v>
      </c>
      <c r="J738">
        <v>0</v>
      </c>
      <c r="K738">
        <v>0</v>
      </c>
    </row>
    <row r="739" spans="1:11" x14ac:dyDescent="0.25">
      <c r="A739" t="s">
        <v>152</v>
      </c>
      <c r="B739" t="s">
        <v>27</v>
      </c>
      <c r="C739" t="s">
        <v>79</v>
      </c>
      <c r="D739">
        <v>2030</v>
      </c>
      <c r="E739" t="s">
        <v>120</v>
      </c>
      <c r="F739" t="s">
        <v>109</v>
      </c>
      <c r="G739" t="s">
        <v>79</v>
      </c>
      <c r="H739">
        <v>0</v>
      </c>
      <c r="I739">
        <v>0</v>
      </c>
      <c r="J739">
        <v>0</v>
      </c>
      <c r="K739">
        <v>0</v>
      </c>
    </row>
    <row r="740" spans="1:11" x14ac:dyDescent="0.25">
      <c r="A740" t="s">
        <v>152</v>
      </c>
      <c r="B740" t="s">
        <v>27</v>
      </c>
      <c r="C740" t="s">
        <v>74</v>
      </c>
      <c r="D740">
        <v>2030</v>
      </c>
      <c r="E740" t="s">
        <v>120</v>
      </c>
      <c r="F740" t="s">
        <v>109</v>
      </c>
      <c r="G740" t="s">
        <v>74</v>
      </c>
      <c r="H740">
        <v>0</v>
      </c>
      <c r="I740">
        <v>0</v>
      </c>
      <c r="J740">
        <v>0</v>
      </c>
      <c r="K740">
        <v>0</v>
      </c>
    </row>
    <row r="741" spans="1:11" x14ac:dyDescent="0.25">
      <c r="A741" t="s">
        <v>152</v>
      </c>
      <c r="B741" t="s">
        <v>27</v>
      </c>
      <c r="C741" t="s">
        <v>77</v>
      </c>
      <c r="D741">
        <v>2030</v>
      </c>
      <c r="E741" t="s">
        <v>120</v>
      </c>
      <c r="F741" t="s">
        <v>109</v>
      </c>
      <c r="G741" t="s">
        <v>77</v>
      </c>
      <c r="H741">
        <v>0</v>
      </c>
      <c r="I741">
        <v>0</v>
      </c>
      <c r="J741">
        <v>0</v>
      </c>
      <c r="K741">
        <v>0</v>
      </c>
    </row>
    <row r="742" spans="1:11" x14ac:dyDescent="0.25">
      <c r="A742" t="s">
        <v>152</v>
      </c>
      <c r="B742" t="s">
        <v>27</v>
      </c>
      <c r="C742" t="s">
        <v>64</v>
      </c>
      <c r="D742">
        <v>2030</v>
      </c>
      <c r="E742" t="s">
        <v>120</v>
      </c>
      <c r="F742" t="s">
        <v>109</v>
      </c>
      <c r="G742" t="s">
        <v>64</v>
      </c>
      <c r="H742">
        <v>0</v>
      </c>
      <c r="I742">
        <v>0</v>
      </c>
      <c r="J742">
        <v>0</v>
      </c>
      <c r="K742">
        <v>0</v>
      </c>
    </row>
    <row r="743" spans="1:11" x14ac:dyDescent="0.25">
      <c r="A743" t="s">
        <v>152</v>
      </c>
      <c r="B743" t="s">
        <v>27</v>
      </c>
      <c r="C743" t="s">
        <v>119</v>
      </c>
      <c r="D743">
        <v>2030</v>
      </c>
      <c r="E743" t="s">
        <v>120</v>
      </c>
      <c r="F743" t="s">
        <v>109</v>
      </c>
      <c r="G743" t="s">
        <v>52</v>
      </c>
      <c r="H743">
        <v>0</v>
      </c>
      <c r="I743">
        <v>0</v>
      </c>
      <c r="J743">
        <v>0</v>
      </c>
      <c r="K743">
        <v>0</v>
      </c>
    </row>
    <row r="744" spans="1:11" x14ac:dyDescent="0.25">
      <c r="A744" t="s">
        <v>152</v>
      </c>
      <c r="B744" t="s">
        <v>27</v>
      </c>
      <c r="C744" t="s">
        <v>28</v>
      </c>
      <c r="D744">
        <v>2050</v>
      </c>
      <c r="E744" t="s">
        <v>120</v>
      </c>
      <c r="F744" t="s">
        <v>109</v>
      </c>
      <c r="G744" t="s">
        <v>28</v>
      </c>
      <c r="H744">
        <v>0</v>
      </c>
      <c r="I744">
        <v>0</v>
      </c>
      <c r="J744">
        <v>0</v>
      </c>
      <c r="K744">
        <v>0</v>
      </c>
    </row>
    <row r="745" spans="1:11" x14ac:dyDescent="0.25">
      <c r="A745" t="s">
        <v>152</v>
      </c>
      <c r="B745" t="s">
        <v>27</v>
      </c>
      <c r="C745" t="s">
        <v>33</v>
      </c>
      <c r="D745">
        <v>2050</v>
      </c>
      <c r="E745" t="s">
        <v>120</v>
      </c>
      <c r="F745" t="s">
        <v>109</v>
      </c>
      <c r="G745" t="s">
        <v>33</v>
      </c>
      <c r="H745">
        <v>0</v>
      </c>
      <c r="I745">
        <v>0</v>
      </c>
      <c r="J745">
        <v>0</v>
      </c>
      <c r="K745">
        <v>0</v>
      </c>
    </row>
    <row r="746" spans="1:11" x14ac:dyDescent="0.25">
      <c r="A746" t="s">
        <v>152</v>
      </c>
      <c r="B746" t="s">
        <v>27</v>
      </c>
      <c r="C746" t="s">
        <v>71</v>
      </c>
      <c r="D746">
        <v>2050</v>
      </c>
      <c r="E746" t="s">
        <v>120</v>
      </c>
      <c r="F746" t="s">
        <v>109</v>
      </c>
      <c r="G746" t="s">
        <v>71</v>
      </c>
      <c r="H746">
        <v>0</v>
      </c>
      <c r="I746">
        <v>0</v>
      </c>
      <c r="J746">
        <v>0</v>
      </c>
      <c r="K746">
        <v>0</v>
      </c>
    </row>
    <row r="747" spans="1:11" x14ac:dyDescent="0.25">
      <c r="A747" t="s">
        <v>152</v>
      </c>
      <c r="B747" t="s">
        <v>27</v>
      </c>
      <c r="C747" t="s">
        <v>52</v>
      </c>
      <c r="D747">
        <v>2050</v>
      </c>
      <c r="E747" t="s">
        <v>120</v>
      </c>
      <c r="F747" t="s">
        <v>109</v>
      </c>
      <c r="G747" t="s">
        <v>52</v>
      </c>
      <c r="H747">
        <v>0</v>
      </c>
      <c r="I747">
        <v>0</v>
      </c>
      <c r="J747">
        <v>0</v>
      </c>
      <c r="K747">
        <v>0</v>
      </c>
    </row>
    <row r="748" spans="1:11" x14ac:dyDescent="0.25">
      <c r="A748" t="s">
        <v>152</v>
      </c>
      <c r="B748" t="s">
        <v>27</v>
      </c>
      <c r="C748" t="s">
        <v>29</v>
      </c>
      <c r="D748">
        <v>2050</v>
      </c>
      <c r="E748" t="s">
        <v>120</v>
      </c>
      <c r="F748" t="s">
        <v>109</v>
      </c>
      <c r="G748" t="s">
        <v>29</v>
      </c>
      <c r="H748">
        <v>0</v>
      </c>
      <c r="I748">
        <v>0</v>
      </c>
      <c r="J748">
        <v>0</v>
      </c>
      <c r="K748">
        <v>0</v>
      </c>
    </row>
    <row r="749" spans="1:11" x14ac:dyDescent="0.25">
      <c r="A749" t="s">
        <v>152</v>
      </c>
      <c r="B749" t="s">
        <v>27</v>
      </c>
      <c r="C749" t="s">
        <v>30</v>
      </c>
      <c r="D749">
        <v>2050</v>
      </c>
      <c r="E749" t="s">
        <v>120</v>
      </c>
      <c r="F749" t="s">
        <v>109</v>
      </c>
      <c r="G749" t="s">
        <v>30</v>
      </c>
      <c r="H749">
        <v>0</v>
      </c>
      <c r="I749">
        <v>0</v>
      </c>
      <c r="J749">
        <v>0</v>
      </c>
      <c r="K749">
        <v>0</v>
      </c>
    </row>
    <row r="750" spans="1:11" x14ac:dyDescent="0.25">
      <c r="A750" t="s">
        <v>152</v>
      </c>
      <c r="B750" t="s">
        <v>27</v>
      </c>
      <c r="C750" t="s">
        <v>54</v>
      </c>
      <c r="D750">
        <v>2050</v>
      </c>
      <c r="E750" t="s">
        <v>120</v>
      </c>
      <c r="F750" t="s">
        <v>109</v>
      </c>
      <c r="G750" t="s">
        <v>54</v>
      </c>
      <c r="H750">
        <v>0</v>
      </c>
      <c r="I750">
        <v>0</v>
      </c>
      <c r="J750">
        <v>0</v>
      </c>
      <c r="K750">
        <v>0</v>
      </c>
    </row>
    <row r="751" spans="1:11" x14ac:dyDescent="0.25">
      <c r="A751" t="s">
        <v>152</v>
      </c>
      <c r="B751" t="s">
        <v>27</v>
      </c>
      <c r="C751" t="s">
        <v>53</v>
      </c>
      <c r="D751">
        <v>2050</v>
      </c>
      <c r="E751" t="s">
        <v>120</v>
      </c>
      <c r="F751" t="s">
        <v>109</v>
      </c>
      <c r="G751" t="s">
        <v>53</v>
      </c>
      <c r="H751">
        <v>0</v>
      </c>
      <c r="I751">
        <v>0</v>
      </c>
      <c r="J751">
        <v>0</v>
      </c>
      <c r="K751">
        <v>0</v>
      </c>
    </row>
    <row r="752" spans="1:11" x14ac:dyDescent="0.25">
      <c r="A752" t="s">
        <v>152</v>
      </c>
      <c r="B752" t="s">
        <v>27</v>
      </c>
      <c r="C752" t="s">
        <v>40</v>
      </c>
      <c r="D752">
        <v>2050</v>
      </c>
      <c r="E752" t="s">
        <v>120</v>
      </c>
      <c r="F752" t="s">
        <v>109</v>
      </c>
      <c r="G752" t="s">
        <v>40</v>
      </c>
      <c r="H752">
        <v>0</v>
      </c>
      <c r="I752">
        <v>0</v>
      </c>
      <c r="J752">
        <v>0</v>
      </c>
      <c r="K752">
        <v>0</v>
      </c>
    </row>
    <row r="753" spans="1:11" x14ac:dyDescent="0.25">
      <c r="A753" t="s">
        <v>152</v>
      </c>
      <c r="B753" t="s">
        <v>27</v>
      </c>
      <c r="C753" t="s">
        <v>79</v>
      </c>
      <c r="D753">
        <v>2050</v>
      </c>
      <c r="E753" t="s">
        <v>120</v>
      </c>
      <c r="F753" t="s">
        <v>109</v>
      </c>
      <c r="G753" t="s">
        <v>79</v>
      </c>
      <c r="H753">
        <v>0</v>
      </c>
      <c r="I753">
        <v>0</v>
      </c>
      <c r="J753">
        <v>0</v>
      </c>
      <c r="K753">
        <v>0</v>
      </c>
    </row>
    <row r="754" spans="1:11" x14ac:dyDescent="0.25">
      <c r="A754" t="s">
        <v>152</v>
      </c>
      <c r="B754" t="s">
        <v>27</v>
      </c>
      <c r="C754" t="s">
        <v>74</v>
      </c>
      <c r="D754">
        <v>2050</v>
      </c>
      <c r="E754" t="s">
        <v>120</v>
      </c>
      <c r="F754" t="s">
        <v>109</v>
      </c>
      <c r="G754" t="s">
        <v>74</v>
      </c>
      <c r="H754">
        <v>0</v>
      </c>
      <c r="I754">
        <v>0</v>
      </c>
      <c r="J754">
        <v>0</v>
      </c>
      <c r="K754">
        <v>0</v>
      </c>
    </row>
    <row r="755" spans="1:11" x14ac:dyDescent="0.25">
      <c r="A755" t="s">
        <v>152</v>
      </c>
      <c r="B755" t="s">
        <v>27</v>
      </c>
      <c r="C755" t="s">
        <v>77</v>
      </c>
      <c r="D755">
        <v>2050</v>
      </c>
      <c r="E755" t="s">
        <v>120</v>
      </c>
      <c r="F755" t="s">
        <v>109</v>
      </c>
      <c r="G755" t="s">
        <v>77</v>
      </c>
      <c r="H755">
        <v>0</v>
      </c>
      <c r="I755">
        <v>0</v>
      </c>
      <c r="J755">
        <v>0</v>
      </c>
      <c r="K755">
        <v>0</v>
      </c>
    </row>
    <row r="756" spans="1:11" x14ac:dyDescent="0.25">
      <c r="A756" t="s">
        <v>152</v>
      </c>
      <c r="B756" t="s">
        <v>27</v>
      </c>
      <c r="C756" t="s">
        <v>64</v>
      </c>
      <c r="D756">
        <v>2050</v>
      </c>
      <c r="E756" t="s">
        <v>120</v>
      </c>
      <c r="F756" t="s">
        <v>109</v>
      </c>
      <c r="G756" t="s">
        <v>64</v>
      </c>
      <c r="H756">
        <v>0</v>
      </c>
      <c r="I756">
        <v>0</v>
      </c>
      <c r="J756">
        <v>0</v>
      </c>
      <c r="K756">
        <v>0</v>
      </c>
    </row>
    <row r="757" spans="1:11" x14ac:dyDescent="0.25">
      <c r="A757" t="s">
        <v>152</v>
      </c>
      <c r="B757" t="s">
        <v>27</v>
      </c>
      <c r="C757" t="s">
        <v>119</v>
      </c>
      <c r="D757">
        <v>2050</v>
      </c>
      <c r="E757" t="s">
        <v>120</v>
      </c>
      <c r="F757" t="s">
        <v>109</v>
      </c>
      <c r="G757" t="s">
        <v>52</v>
      </c>
      <c r="H757">
        <v>0</v>
      </c>
      <c r="I757">
        <v>0</v>
      </c>
      <c r="J757">
        <v>0</v>
      </c>
      <c r="K757">
        <v>0</v>
      </c>
    </row>
    <row r="758" spans="1:11" x14ac:dyDescent="0.25">
      <c r="A758" t="s">
        <v>152</v>
      </c>
      <c r="B758" t="s">
        <v>42</v>
      </c>
      <c r="C758" t="s">
        <v>28</v>
      </c>
      <c r="D758">
        <v>2019</v>
      </c>
      <c r="E758" t="s">
        <v>118</v>
      </c>
      <c r="F758" t="s">
        <v>107</v>
      </c>
      <c r="G758" t="s">
        <v>51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152</v>
      </c>
      <c r="B759" t="s">
        <v>42</v>
      </c>
      <c r="C759" t="s">
        <v>33</v>
      </c>
      <c r="D759">
        <v>2019</v>
      </c>
      <c r="E759" t="s">
        <v>118</v>
      </c>
      <c r="F759" t="s">
        <v>107</v>
      </c>
      <c r="G759" t="s">
        <v>51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152</v>
      </c>
      <c r="B760" t="s">
        <v>42</v>
      </c>
      <c r="C760" t="s">
        <v>71</v>
      </c>
      <c r="D760">
        <v>2019</v>
      </c>
      <c r="E760" t="s">
        <v>118</v>
      </c>
      <c r="F760" t="s">
        <v>107</v>
      </c>
      <c r="G760" t="s">
        <v>51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152</v>
      </c>
      <c r="B761" t="s">
        <v>42</v>
      </c>
      <c r="C761" t="s">
        <v>52</v>
      </c>
      <c r="D761">
        <v>2019</v>
      </c>
      <c r="E761" t="s">
        <v>118</v>
      </c>
      <c r="F761" t="s">
        <v>107</v>
      </c>
      <c r="G761" t="s">
        <v>52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152</v>
      </c>
      <c r="B762" t="s">
        <v>42</v>
      </c>
      <c r="C762" t="s">
        <v>29</v>
      </c>
      <c r="D762">
        <v>2019</v>
      </c>
      <c r="E762" t="s">
        <v>118</v>
      </c>
      <c r="F762" t="s">
        <v>107</v>
      </c>
      <c r="G762" t="s">
        <v>29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152</v>
      </c>
      <c r="B763" t="s">
        <v>42</v>
      </c>
      <c r="C763" t="s">
        <v>30</v>
      </c>
      <c r="D763">
        <v>2019</v>
      </c>
      <c r="E763" t="s">
        <v>118</v>
      </c>
      <c r="F763" t="s">
        <v>107</v>
      </c>
      <c r="G763" t="s">
        <v>30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152</v>
      </c>
      <c r="B764" t="s">
        <v>42</v>
      </c>
      <c r="C764" t="s">
        <v>54</v>
      </c>
      <c r="D764">
        <v>2019</v>
      </c>
      <c r="E764" t="s">
        <v>118</v>
      </c>
      <c r="F764" t="s">
        <v>107</v>
      </c>
      <c r="G764" t="s">
        <v>54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152</v>
      </c>
      <c r="B765" t="s">
        <v>42</v>
      </c>
      <c r="C765" t="s">
        <v>53</v>
      </c>
      <c r="D765">
        <v>2019</v>
      </c>
      <c r="E765" t="s">
        <v>118</v>
      </c>
      <c r="F765" t="s">
        <v>107</v>
      </c>
      <c r="G765" t="s">
        <v>53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152</v>
      </c>
      <c r="B766" t="s">
        <v>42</v>
      </c>
      <c r="C766" t="s">
        <v>40</v>
      </c>
      <c r="D766">
        <v>2019</v>
      </c>
      <c r="E766" t="s">
        <v>118</v>
      </c>
      <c r="F766" t="s">
        <v>107</v>
      </c>
      <c r="G766" t="s">
        <v>40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152</v>
      </c>
      <c r="B767" t="s">
        <v>42</v>
      </c>
      <c r="C767" t="s">
        <v>79</v>
      </c>
      <c r="D767">
        <v>2019</v>
      </c>
      <c r="E767" t="s">
        <v>118</v>
      </c>
      <c r="F767" t="s">
        <v>107</v>
      </c>
      <c r="G767" t="s">
        <v>79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152</v>
      </c>
      <c r="B768" t="s">
        <v>42</v>
      </c>
      <c r="C768" t="s">
        <v>74</v>
      </c>
      <c r="D768">
        <v>2019</v>
      </c>
      <c r="E768" t="s">
        <v>118</v>
      </c>
      <c r="F768" t="s">
        <v>107</v>
      </c>
      <c r="G768" t="s">
        <v>51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152</v>
      </c>
      <c r="B769" t="s">
        <v>42</v>
      </c>
      <c r="C769" t="s">
        <v>77</v>
      </c>
      <c r="D769">
        <v>2019</v>
      </c>
      <c r="E769" t="s">
        <v>118</v>
      </c>
      <c r="F769" t="s">
        <v>107</v>
      </c>
      <c r="G769" t="s">
        <v>77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152</v>
      </c>
      <c r="B770" t="s">
        <v>42</v>
      </c>
      <c r="C770" t="s">
        <v>64</v>
      </c>
      <c r="D770">
        <v>2019</v>
      </c>
      <c r="E770" t="s">
        <v>118</v>
      </c>
      <c r="F770" t="s">
        <v>107</v>
      </c>
      <c r="G770" t="s">
        <v>64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152</v>
      </c>
      <c r="B771" t="s">
        <v>42</v>
      </c>
      <c r="C771" t="s">
        <v>119</v>
      </c>
      <c r="D771">
        <v>2019</v>
      </c>
      <c r="E771" t="s">
        <v>118</v>
      </c>
      <c r="F771" t="s">
        <v>107</v>
      </c>
      <c r="G771" t="s">
        <v>52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152</v>
      </c>
      <c r="B772" t="s">
        <v>42</v>
      </c>
      <c r="C772" t="s">
        <v>28</v>
      </c>
      <c r="D772">
        <v>2030</v>
      </c>
      <c r="E772" t="s">
        <v>118</v>
      </c>
      <c r="F772" t="s">
        <v>107</v>
      </c>
      <c r="G772" t="s">
        <v>51</v>
      </c>
      <c r="H772">
        <v>188926.2284292996</v>
      </c>
      <c r="I772">
        <v>1324372.8612893904</v>
      </c>
      <c r="J772">
        <v>459842.12303259573</v>
      </c>
      <c r="K772">
        <v>459842.12303259573</v>
      </c>
    </row>
    <row r="773" spans="1:11" x14ac:dyDescent="0.25">
      <c r="A773" t="s">
        <v>152</v>
      </c>
      <c r="B773" t="s">
        <v>42</v>
      </c>
      <c r="C773" t="s">
        <v>33</v>
      </c>
      <c r="D773">
        <v>2030</v>
      </c>
      <c r="E773" t="s">
        <v>118</v>
      </c>
      <c r="F773" t="s">
        <v>107</v>
      </c>
      <c r="G773" t="s">
        <v>51</v>
      </c>
      <c r="H773">
        <v>56217.072849694036</v>
      </c>
      <c r="I773">
        <v>216997.90119981903</v>
      </c>
      <c r="J773">
        <v>68530.877351812873</v>
      </c>
      <c r="K773">
        <v>68530.877351812873</v>
      </c>
    </row>
    <row r="774" spans="1:11" x14ac:dyDescent="0.25">
      <c r="A774" t="s">
        <v>152</v>
      </c>
      <c r="B774" t="s">
        <v>42</v>
      </c>
      <c r="C774" t="s">
        <v>71</v>
      </c>
      <c r="D774">
        <v>2030</v>
      </c>
      <c r="E774" t="s">
        <v>118</v>
      </c>
      <c r="F774" t="s">
        <v>107</v>
      </c>
      <c r="G774" t="s">
        <v>51</v>
      </c>
      <c r="H774">
        <v>30103.638216868068</v>
      </c>
      <c r="I774">
        <v>132456.00815421951</v>
      </c>
      <c r="J774">
        <v>75257.530152982901</v>
      </c>
      <c r="K774">
        <v>75257.530152982901</v>
      </c>
    </row>
    <row r="775" spans="1:11" x14ac:dyDescent="0.25">
      <c r="A775" t="s">
        <v>152</v>
      </c>
      <c r="B775" t="s">
        <v>42</v>
      </c>
      <c r="C775" t="s">
        <v>52</v>
      </c>
      <c r="D775">
        <v>2030</v>
      </c>
      <c r="E775" t="s">
        <v>118</v>
      </c>
      <c r="F775" t="s">
        <v>107</v>
      </c>
      <c r="G775" t="s">
        <v>52</v>
      </c>
      <c r="H775">
        <v>41471.611118626752</v>
      </c>
      <c r="I775">
        <v>2057821.3437062595</v>
      </c>
      <c r="J775">
        <v>0</v>
      </c>
      <c r="K775">
        <v>2057821.3437062595</v>
      </c>
    </row>
    <row r="776" spans="1:11" x14ac:dyDescent="0.25">
      <c r="A776" t="s">
        <v>152</v>
      </c>
      <c r="B776" t="s">
        <v>42</v>
      </c>
      <c r="C776" t="s">
        <v>29</v>
      </c>
      <c r="D776">
        <v>2030</v>
      </c>
      <c r="E776" t="s">
        <v>118</v>
      </c>
      <c r="F776" t="s">
        <v>107</v>
      </c>
      <c r="G776" t="s">
        <v>29</v>
      </c>
      <c r="H776">
        <v>13823.870372875581</v>
      </c>
      <c r="I776">
        <v>286845.31023716828</v>
      </c>
      <c r="J776">
        <v>0</v>
      </c>
      <c r="K776">
        <v>286845.31023716828</v>
      </c>
    </row>
    <row r="777" spans="1:11" x14ac:dyDescent="0.25">
      <c r="A777" t="s">
        <v>152</v>
      </c>
      <c r="B777" t="s">
        <v>42</v>
      </c>
      <c r="C777" t="s">
        <v>30</v>
      </c>
      <c r="D777">
        <v>2030</v>
      </c>
      <c r="E777" t="s">
        <v>118</v>
      </c>
      <c r="F777" t="s">
        <v>107</v>
      </c>
      <c r="G777" t="s">
        <v>30</v>
      </c>
      <c r="H777">
        <v>10090.173736930508</v>
      </c>
      <c r="I777">
        <v>428538.75442508562</v>
      </c>
      <c r="J777">
        <v>0</v>
      </c>
      <c r="K777">
        <v>428538.75442508562</v>
      </c>
    </row>
    <row r="778" spans="1:11" x14ac:dyDescent="0.25">
      <c r="A778" t="s">
        <v>152</v>
      </c>
      <c r="B778" t="s">
        <v>42</v>
      </c>
      <c r="C778" t="s">
        <v>54</v>
      </c>
      <c r="D778">
        <v>2030</v>
      </c>
      <c r="E778" t="s">
        <v>118</v>
      </c>
      <c r="F778" t="s">
        <v>107</v>
      </c>
      <c r="G778" t="s">
        <v>54</v>
      </c>
      <c r="H778">
        <v>6205.4950465701122</v>
      </c>
      <c r="I778">
        <v>504219.6273660849</v>
      </c>
      <c r="J778">
        <v>0</v>
      </c>
      <c r="K778">
        <v>504219.6273660849</v>
      </c>
    </row>
    <row r="779" spans="1:11" x14ac:dyDescent="0.25">
      <c r="A779" t="s">
        <v>152</v>
      </c>
      <c r="B779" t="s">
        <v>42</v>
      </c>
      <c r="C779" t="s">
        <v>53</v>
      </c>
      <c r="D779">
        <v>2030</v>
      </c>
      <c r="E779" t="s">
        <v>118</v>
      </c>
      <c r="F779" t="s">
        <v>107</v>
      </c>
      <c r="G779" t="s">
        <v>53</v>
      </c>
      <c r="H779">
        <v>25804.558029367756</v>
      </c>
      <c r="I779">
        <v>1148560.8778871589</v>
      </c>
      <c r="J779">
        <v>0</v>
      </c>
      <c r="K779">
        <v>1148560.8778871589</v>
      </c>
    </row>
    <row r="780" spans="1:11" x14ac:dyDescent="0.25">
      <c r="A780" t="s">
        <v>152</v>
      </c>
      <c r="B780" t="s">
        <v>42</v>
      </c>
      <c r="C780" t="s">
        <v>40</v>
      </c>
      <c r="D780">
        <v>2030</v>
      </c>
      <c r="E780" t="s">
        <v>118</v>
      </c>
      <c r="F780" t="s">
        <v>107</v>
      </c>
      <c r="G780" t="s">
        <v>40</v>
      </c>
      <c r="H780">
        <v>935.50341368192721</v>
      </c>
      <c r="I780">
        <v>7942.423982159562</v>
      </c>
      <c r="J780">
        <v>0</v>
      </c>
      <c r="K780">
        <v>7942.423982159562</v>
      </c>
    </row>
    <row r="781" spans="1:11" x14ac:dyDescent="0.25">
      <c r="A781" t="s">
        <v>152</v>
      </c>
      <c r="B781" t="s">
        <v>42</v>
      </c>
      <c r="C781" t="s">
        <v>79</v>
      </c>
      <c r="D781">
        <v>2030</v>
      </c>
      <c r="E781" t="s">
        <v>118</v>
      </c>
      <c r="F781" t="s">
        <v>107</v>
      </c>
      <c r="G781" t="s">
        <v>79</v>
      </c>
      <c r="H781">
        <v>12887.84238679955</v>
      </c>
      <c r="I781">
        <v>384005.42369948834</v>
      </c>
      <c r="J781">
        <v>0</v>
      </c>
      <c r="K781">
        <v>384005.42369948834</v>
      </c>
    </row>
    <row r="782" spans="1:11" x14ac:dyDescent="0.25">
      <c r="A782" t="s">
        <v>152</v>
      </c>
      <c r="B782" t="s">
        <v>42</v>
      </c>
      <c r="C782" t="s">
        <v>74</v>
      </c>
      <c r="D782">
        <v>2030</v>
      </c>
      <c r="E782" t="s">
        <v>118</v>
      </c>
      <c r="F782" t="s">
        <v>107</v>
      </c>
      <c r="G782" t="s">
        <v>51</v>
      </c>
      <c r="H782">
        <v>18613.983064687938</v>
      </c>
      <c r="I782">
        <v>265972.61219089921</v>
      </c>
      <c r="J782">
        <v>47004.030034949988</v>
      </c>
      <c r="K782">
        <v>47004.030034949988</v>
      </c>
    </row>
    <row r="783" spans="1:11" x14ac:dyDescent="0.25">
      <c r="A783" t="s">
        <v>152</v>
      </c>
      <c r="B783" t="s">
        <v>42</v>
      </c>
      <c r="C783" t="s">
        <v>77</v>
      </c>
      <c r="D783">
        <v>2030</v>
      </c>
      <c r="E783" t="s">
        <v>118</v>
      </c>
      <c r="F783" t="s">
        <v>107</v>
      </c>
      <c r="G783" t="s">
        <v>77</v>
      </c>
      <c r="H783">
        <v>3496.0268537768229</v>
      </c>
      <c r="I783">
        <v>174801.34268884116</v>
      </c>
      <c r="J783">
        <v>0</v>
      </c>
      <c r="K783">
        <v>174801.34268884116</v>
      </c>
    </row>
    <row r="784" spans="1:11" x14ac:dyDescent="0.25">
      <c r="A784" t="s">
        <v>152</v>
      </c>
      <c r="B784" t="s">
        <v>42</v>
      </c>
      <c r="C784" t="s">
        <v>64</v>
      </c>
      <c r="D784">
        <v>2030</v>
      </c>
      <c r="E784" t="s">
        <v>118</v>
      </c>
      <c r="F784" t="s">
        <v>107</v>
      </c>
      <c r="G784" t="s">
        <v>64</v>
      </c>
      <c r="H784">
        <v>1344.3757621013274</v>
      </c>
      <c r="I784">
        <v>32789.652734178722</v>
      </c>
      <c r="J784">
        <v>0</v>
      </c>
      <c r="K784">
        <v>32789.652734178722</v>
      </c>
    </row>
    <row r="785" spans="1:11" x14ac:dyDescent="0.25">
      <c r="A785" t="s">
        <v>152</v>
      </c>
      <c r="B785" t="s">
        <v>42</v>
      </c>
      <c r="C785" t="s">
        <v>119</v>
      </c>
      <c r="D785">
        <v>2030</v>
      </c>
      <c r="E785" t="s">
        <v>118</v>
      </c>
      <c r="F785" t="s">
        <v>107</v>
      </c>
      <c r="G785" t="s">
        <v>52</v>
      </c>
      <c r="H785">
        <v>50687.5247005438</v>
      </c>
      <c r="I785">
        <v>698980.9656204991</v>
      </c>
      <c r="J785">
        <v>0</v>
      </c>
      <c r="K785">
        <v>698980.9656204991</v>
      </c>
    </row>
    <row r="786" spans="1:11" x14ac:dyDescent="0.25">
      <c r="A786" t="s">
        <v>152</v>
      </c>
      <c r="B786" t="s">
        <v>42</v>
      </c>
      <c r="C786" t="s">
        <v>28</v>
      </c>
      <c r="D786">
        <v>2050</v>
      </c>
      <c r="E786" t="s">
        <v>118</v>
      </c>
      <c r="F786" t="s">
        <v>107</v>
      </c>
      <c r="G786" t="s">
        <v>51</v>
      </c>
      <c r="H786">
        <v>172291.49572362565</v>
      </c>
      <c r="I786">
        <v>1207763.3850226158</v>
      </c>
      <c r="J786">
        <v>450707.10120581463</v>
      </c>
      <c r="K786">
        <v>450707.10120581463</v>
      </c>
    </row>
    <row r="787" spans="1:11" x14ac:dyDescent="0.25">
      <c r="A787" t="s">
        <v>152</v>
      </c>
      <c r="B787" t="s">
        <v>42</v>
      </c>
      <c r="C787" t="s">
        <v>33</v>
      </c>
      <c r="D787">
        <v>2050</v>
      </c>
      <c r="E787" t="s">
        <v>118</v>
      </c>
      <c r="F787" t="s">
        <v>107</v>
      </c>
      <c r="G787" t="s">
        <v>51</v>
      </c>
      <c r="H787">
        <v>51267.225556786172</v>
      </c>
      <c r="I787">
        <v>197891.49064919466</v>
      </c>
      <c r="J787">
        <v>67169.473015279553</v>
      </c>
      <c r="K787">
        <v>67169.473015279553</v>
      </c>
    </row>
    <row r="788" spans="1:11" x14ac:dyDescent="0.25">
      <c r="A788" t="s">
        <v>152</v>
      </c>
      <c r="B788" t="s">
        <v>42</v>
      </c>
      <c r="C788" t="s">
        <v>71</v>
      </c>
      <c r="D788">
        <v>2050</v>
      </c>
      <c r="E788" t="s">
        <v>118</v>
      </c>
      <c r="F788" t="s">
        <v>107</v>
      </c>
      <c r="G788" t="s">
        <v>51</v>
      </c>
      <c r="H788">
        <v>27453.048198906061</v>
      </c>
      <c r="I788">
        <v>120793.41207518667</v>
      </c>
      <c r="J788">
        <v>73762.497083712733</v>
      </c>
      <c r="K788">
        <v>73762.497083712733</v>
      </c>
    </row>
    <row r="789" spans="1:11" x14ac:dyDescent="0.25">
      <c r="A789" t="s">
        <v>152</v>
      </c>
      <c r="B789" t="s">
        <v>42</v>
      </c>
      <c r="C789" t="s">
        <v>52</v>
      </c>
      <c r="D789">
        <v>2050</v>
      </c>
      <c r="E789" t="s">
        <v>118</v>
      </c>
      <c r="F789" t="s">
        <v>107</v>
      </c>
      <c r="G789" t="s">
        <v>52</v>
      </c>
      <c r="H789">
        <v>54629.010839198389</v>
      </c>
      <c r="I789">
        <v>2710691.5178410243</v>
      </c>
      <c r="J789">
        <v>0</v>
      </c>
      <c r="K789">
        <v>2710691.5178410243</v>
      </c>
    </row>
    <row r="790" spans="1:11" x14ac:dyDescent="0.25">
      <c r="A790" t="s">
        <v>152</v>
      </c>
      <c r="B790" t="s">
        <v>42</v>
      </c>
      <c r="C790" t="s">
        <v>29</v>
      </c>
      <c r="D790">
        <v>2050</v>
      </c>
      <c r="E790" t="s">
        <v>118</v>
      </c>
      <c r="F790" t="s">
        <v>107</v>
      </c>
      <c r="G790" t="s">
        <v>29</v>
      </c>
      <c r="H790">
        <v>16388.703251759514</v>
      </c>
      <c r="I790">
        <v>340065.59247400996</v>
      </c>
      <c r="J790">
        <v>0</v>
      </c>
      <c r="K790">
        <v>340065.59247400996</v>
      </c>
    </row>
    <row r="791" spans="1:11" x14ac:dyDescent="0.25">
      <c r="A791" t="s">
        <v>152</v>
      </c>
      <c r="B791" t="s">
        <v>42</v>
      </c>
      <c r="C791" t="s">
        <v>30</v>
      </c>
      <c r="D791">
        <v>2050</v>
      </c>
      <c r="E791" t="s">
        <v>118</v>
      </c>
      <c r="F791" t="s">
        <v>107</v>
      </c>
      <c r="G791" t="s">
        <v>30</v>
      </c>
      <c r="H791">
        <v>9201.745780351348</v>
      </c>
      <c r="I791">
        <v>390806.41999407549</v>
      </c>
      <c r="J791">
        <v>0</v>
      </c>
      <c r="K791">
        <v>390806.41999407549</v>
      </c>
    </row>
    <row r="792" spans="1:11" x14ac:dyDescent="0.25">
      <c r="A792" t="s">
        <v>152</v>
      </c>
      <c r="B792" t="s">
        <v>42</v>
      </c>
      <c r="C792" t="s">
        <v>54</v>
      </c>
      <c r="D792">
        <v>2050</v>
      </c>
      <c r="E792" t="s">
        <v>118</v>
      </c>
      <c r="F792" t="s">
        <v>107</v>
      </c>
      <c r="G792" t="s">
        <v>54</v>
      </c>
      <c r="H792">
        <v>16808.926412061042</v>
      </c>
      <c r="I792">
        <v>1365787.9908546314</v>
      </c>
      <c r="J792">
        <v>0</v>
      </c>
      <c r="K792">
        <v>1365787.9908546314</v>
      </c>
    </row>
    <row r="793" spans="1:11" x14ac:dyDescent="0.25">
      <c r="A793" t="s">
        <v>152</v>
      </c>
      <c r="B793" t="s">
        <v>42</v>
      </c>
      <c r="C793" t="s">
        <v>53</v>
      </c>
      <c r="D793">
        <v>2050</v>
      </c>
      <c r="E793" t="s">
        <v>118</v>
      </c>
      <c r="F793" t="s">
        <v>107</v>
      </c>
      <c r="G793" t="s">
        <v>53</v>
      </c>
      <c r="H793">
        <v>23532.496976885457</v>
      </c>
      <c r="I793">
        <v>1047431.4404411719</v>
      </c>
      <c r="J793">
        <v>0</v>
      </c>
      <c r="K793">
        <v>1047431.4404411719</v>
      </c>
    </row>
    <row r="794" spans="1:11" x14ac:dyDescent="0.25">
      <c r="A794" t="s">
        <v>152</v>
      </c>
      <c r="B794" t="s">
        <v>42</v>
      </c>
      <c r="C794" t="s">
        <v>40</v>
      </c>
      <c r="D794">
        <v>2050</v>
      </c>
      <c r="E794" t="s">
        <v>118</v>
      </c>
      <c r="F794" t="s">
        <v>107</v>
      </c>
      <c r="G794" t="s">
        <v>40</v>
      </c>
      <c r="H794">
        <v>853.1334359333481</v>
      </c>
      <c r="I794">
        <v>7243.1028710741266</v>
      </c>
      <c r="J794">
        <v>0</v>
      </c>
      <c r="K794">
        <v>7243.1028710741266</v>
      </c>
    </row>
    <row r="795" spans="1:11" x14ac:dyDescent="0.25">
      <c r="A795" t="s">
        <v>152</v>
      </c>
      <c r="B795" t="s">
        <v>42</v>
      </c>
      <c r="C795" t="s">
        <v>79</v>
      </c>
      <c r="D795">
        <v>2050</v>
      </c>
      <c r="E795" t="s">
        <v>118</v>
      </c>
      <c r="F795" t="s">
        <v>107</v>
      </c>
      <c r="G795" t="s">
        <v>79</v>
      </c>
      <c r="H795">
        <v>11753.082988702035</v>
      </c>
      <c r="I795">
        <v>350194.19677839131</v>
      </c>
      <c r="J795">
        <v>0</v>
      </c>
      <c r="K795">
        <v>350194.19677839131</v>
      </c>
    </row>
    <row r="796" spans="1:11" x14ac:dyDescent="0.25">
      <c r="A796" t="s">
        <v>152</v>
      </c>
      <c r="B796" t="s">
        <v>42</v>
      </c>
      <c r="C796" t="s">
        <v>74</v>
      </c>
      <c r="D796">
        <v>2050</v>
      </c>
      <c r="E796" t="s">
        <v>118</v>
      </c>
      <c r="F796" t="s">
        <v>107</v>
      </c>
      <c r="G796" t="s">
        <v>51</v>
      </c>
      <c r="H796">
        <v>16975.04369960714</v>
      </c>
      <c r="I796">
        <v>242554.03581000675</v>
      </c>
      <c r="J796">
        <v>46070.268600733776</v>
      </c>
      <c r="K796">
        <v>46070.268600733776</v>
      </c>
    </row>
    <row r="797" spans="1:11" x14ac:dyDescent="0.25">
      <c r="A797" t="s">
        <v>152</v>
      </c>
      <c r="B797" t="s">
        <v>42</v>
      </c>
      <c r="C797" t="s">
        <v>77</v>
      </c>
      <c r="D797">
        <v>2050</v>
      </c>
      <c r="E797" t="s">
        <v>118</v>
      </c>
      <c r="F797" t="s">
        <v>107</v>
      </c>
      <c r="G797" t="s">
        <v>77</v>
      </c>
      <c r="H797">
        <v>3188.2057919373397</v>
      </c>
      <c r="I797">
        <v>159410.28959686699</v>
      </c>
      <c r="J797">
        <v>0</v>
      </c>
      <c r="K797">
        <v>159410.28959686699</v>
      </c>
    </row>
    <row r="798" spans="1:11" x14ac:dyDescent="0.25">
      <c r="A798" t="s">
        <v>152</v>
      </c>
      <c r="B798" t="s">
        <v>42</v>
      </c>
      <c r="C798" t="s">
        <v>64</v>
      </c>
      <c r="D798">
        <v>2050</v>
      </c>
      <c r="E798" t="s">
        <v>118</v>
      </c>
      <c r="F798" t="s">
        <v>107</v>
      </c>
      <c r="G798" t="s">
        <v>64</v>
      </c>
      <c r="H798">
        <v>1226.0050538917412</v>
      </c>
      <c r="I798">
        <v>29902.562290042471</v>
      </c>
      <c r="J798">
        <v>0</v>
      </c>
      <c r="K798">
        <v>29902.562290042471</v>
      </c>
    </row>
    <row r="799" spans="1:11" x14ac:dyDescent="0.25">
      <c r="A799" t="s">
        <v>152</v>
      </c>
      <c r="B799" t="s">
        <v>42</v>
      </c>
      <c r="C799" t="s">
        <v>119</v>
      </c>
      <c r="D799">
        <v>2050</v>
      </c>
      <c r="E799" t="s">
        <v>118</v>
      </c>
      <c r="F799" t="s">
        <v>107</v>
      </c>
      <c r="G799" t="s">
        <v>52</v>
      </c>
      <c r="H799">
        <v>14707.810610553413</v>
      </c>
      <c r="I799">
        <v>202820.70831953161</v>
      </c>
      <c r="J799">
        <v>0</v>
      </c>
      <c r="K799">
        <v>202820.70831953161</v>
      </c>
    </row>
    <row r="800" spans="1:11" x14ac:dyDescent="0.25">
      <c r="A800" t="s">
        <v>152</v>
      </c>
      <c r="B800" t="s">
        <v>42</v>
      </c>
      <c r="C800" t="s">
        <v>28</v>
      </c>
      <c r="D800">
        <v>2019</v>
      </c>
      <c r="E800" t="s">
        <v>120</v>
      </c>
      <c r="F800" t="s">
        <v>107</v>
      </c>
      <c r="G800" t="s">
        <v>51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152</v>
      </c>
      <c r="B801" t="s">
        <v>42</v>
      </c>
      <c r="C801" t="s">
        <v>33</v>
      </c>
      <c r="D801">
        <v>2019</v>
      </c>
      <c r="E801" t="s">
        <v>120</v>
      </c>
      <c r="F801" t="s">
        <v>107</v>
      </c>
      <c r="G801" t="s">
        <v>51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152</v>
      </c>
      <c r="B802" t="s">
        <v>42</v>
      </c>
      <c r="C802" t="s">
        <v>71</v>
      </c>
      <c r="D802">
        <v>2019</v>
      </c>
      <c r="E802" t="s">
        <v>120</v>
      </c>
      <c r="F802" t="s">
        <v>107</v>
      </c>
      <c r="G802" t="s">
        <v>51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152</v>
      </c>
      <c r="B803" t="s">
        <v>42</v>
      </c>
      <c r="C803" t="s">
        <v>52</v>
      </c>
      <c r="D803">
        <v>2019</v>
      </c>
      <c r="E803" t="s">
        <v>120</v>
      </c>
      <c r="F803" t="s">
        <v>107</v>
      </c>
      <c r="G803" t="s">
        <v>52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152</v>
      </c>
      <c r="B804" t="s">
        <v>42</v>
      </c>
      <c r="C804" t="s">
        <v>29</v>
      </c>
      <c r="D804">
        <v>2019</v>
      </c>
      <c r="E804" t="s">
        <v>120</v>
      </c>
      <c r="F804" t="s">
        <v>107</v>
      </c>
      <c r="G804" t="s">
        <v>29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152</v>
      </c>
      <c r="B805" t="s">
        <v>42</v>
      </c>
      <c r="C805" t="s">
        <v>30</v>
      </c>
      <c r="D805">
        <v>2019</v>
      </c>
      <c r="E805" t="s">
        <v>120</v>
      </c>
      <c r="F805" t="s">
        <v>107</v>
      </c>
      <c r="G805" t="s">
        <v>30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152</v>
      </c>
      <c r="B806" t="s">
        <v>42</v>
      </c>
      <c r="C806" t="s">
        <v>54</v>
      </c>
      <c r="D806">
        <v>2019</v>
      </c>
      <c r="E806" t="s">
        <v>120</v>
      </c>
      <c r="F806" t="s">
        <v>107</v>
      </c>
      <c r="G806" t="s">
        <v>54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152</v>
      </c>
      <c r="B807" t="s">
        <v>42</v>
      </c>
      <c r="C807" t="s">
        <v>53</v>
      </c>
      <c r="D807">
        <v>2019</v>
      </c>
      <c r="E807" t="s">
        <v>120</v>
      </c>
      <c r="F807" t="s">
        <v>107</v>
      </c>
      <c r="G807" t="s">
        <v>53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152</v>
      </c>
      <c r="B808" t="s">
        <v>42</v>
      </c>
      <c r="C808" t="s">
        <v>40</v>
      </c>
      <c r="D808">
        <v>2019</v>
      </c>
      <c r="E808" t="s">
        <v>120</v>
      </c>
      <c r="F808" t="s">
        <v>107</v>
      </c>
      <c r="G808" t="s">
        <v>40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152</v>
      </c>
      <c r="B809" t="s">
        <v>42</v>
      </c>
      <c r="C809" t="s">
        <v>79</v>
      </c>
      <c r="D809">
        <v>2019</v>
      </c>
      <c r="E809" t="s">
        <v>120</v>
      </c>
      <c r="F809" t="s">
        <v>107</v>
      </c>
      <c r="G809" t="s">
        <v>79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152</v>
      </c>
      <c r="B810" t="s">
        <v>42</v>
      </c>
      <c r="C810" t="s">
        <v>74</v>
      </c>
      <c r="D810">
        <v>2019</v>
      </c>
      <c r="E810" t="s">
        <v>120</v>
      </c>
      <c r="F810" t="s">
        <v>107</v>
      </c>
      <c r="G810" t="s">
        <v>51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152</v>
      </c>
      <c r="B811" t="s">
        <v>42</v>
      </c>
      <c r="C811" t="s">
        <v>77</v>
      </c>
      <c r="D811">
        <v>2019</v>
      </c>
      <c r="E811" t="s">
        <v>120</v>
      </c>
      <c r="F811" t="s">
        <v>107</v>
      </c>
      <c r="G811" t="s">
        <v>77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152</v>
      </c>
      <c r="B812" t="s">
        <v>42</v>
      </c>
      <c r="C812" t="s">
        <v>64</v>
      </c>
      <c r="D812">
        <v>2019</v>
      </c>
      <c r="E812" t="s">
        <v>120</v>
      </c>
      <c r="F812" t="s">
        <v>107</v>
      </c>
      <c r="G812" t="s">
        <v>64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152</v>
      </c>
      <c r="B813" t="s">
        <v>42</v>
      </c>
      <c r="C813" t="s">
        <v>119</v>
      </c>
      <c r="D813">
        <v>2019</v>
      </c>
      <c r="E813" t="s">
        <v>120</v>
      </c>
      <c r="F813" t="s">
        <v>107</v>
      </c>
      <c r="G813" t="s">
        <v>52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152</v>
      </c>
      <c r="B814" t="s">
        <v>42</v>
      </c>
      <c r="C814" t="s">
        <v>28</v>
      </c>
      <c r="D814">
        <v>2030</v>
      </c>
      <c r="E814" t="s">
        <v>120</v>
      </c>
      <c r="F814" t="s">
        <v>107</v>
      </c>
      <c r="G814" t="s">
        <v>51</v>
      </c>
      <c r="H814">
        <v>29485.596344457168</v>
      </c>
      <c r="I814">
        <v>138485.00035101196</v>
      </c>
      <c r="J814">
        <v>48084.069396876628</v>
      </c>
      <c r="K814">
        <v>48084.069396876628</v>
      </c>
    </row>
    <row r="815" spans="1:11" x14ac:dyDescent="0.25">
      <c r="A815" t="s">
        <v>152</v>
      </c>
      <c r="B815" t="s">
        <v>42</v>
      </c>
      <c r="C815" t="s">
        <v>33</v>
      </c>
      <c r="D815">
        <v>2030</v>
      </c>
      <c r="E815" t="s">
        <v>120</v>
      </c>
      <c r="F815" t="s">
        <v>107</v>
      </c>
      <c r="G815" t="s">
        <v>51</v>
      </c>
      <c r="H815">
        <v>8773.7628146921343</v>
      </c>
      <c r="I815">
        <v>19304.032944885632</v>
      </c>
      <c r="J815">
        <v>6096.4751586381508</v>
      </c>
      <c r="K815">
        <v>6096.4751586381508</v>
      </c>
    </row>
    <row r="816" spans="1:11" x14ac:dyDescent="0.25">
      <c r="A816" t="s">
        <v>152</v>
      </c>
      <c r="B816" t="s">
        <v>42</v>
      </c>
      <c r="C816" t="s">
        <v>71</v>
      </c>
      <c r="D816">
        <v>2030</v>
      </c>
      <c r="E816" t="s">
        <v>120</v>
      </c>
      <c r="F816" t="s">
        <v>107</v>
      </c>
      <c r="G816" t="s">
        <v>51</v>
      </c>
      <c r="H816">
        <v>4698.2556754649595</v>
      </c>
      <c r="I816">
        <v>11369.778734625204</v>
      </c>
      <c r="J816">
        <v>6459.9671836520019</v>
      </c>
      <c r="K816">
        <v>6459.9671836520019</v>
      </c>
    </row>
    <row r="817" spans="1:11" x14ac:dyDescent="0.25">
      <c r="A817" t="s">
        <v>152</v>
      </c>
      <c r="B817" t="s">
        <v>42</v>
      </c>
      <c r="C817" t="s">
        <v>52</v>
      </c>
      <c r="D817">
        <v>2030</v>
      </c>
      <c r="E817" t="s">
        <v>120</v>
      </c>
      <c r="F817" t="s">
        <v>107</v>
      </c>
      <c r="G817" t="s">
        <v>52</v>
      </c>
      <c r="H817">
        <v>6472.447978051574</v>
      </c>
      <c r="I817">
        <v>250507.0375633169</v>
      </c>
      <c r="J817">
        <v>0</v>
      </c>
      <c r="K817">
        <v>250507.0375633169</v>
      </c>
    </row>
    <row r="818" spans="1:11" x14ac:dyDescent="0.25">
      <c r="A818" t="s">
        <v>152</v>
      </c>
      <c r="B818" t="s">
        <v>42</v>
      </c>
      <c r="C818" t="s">
        <v>29</v>
      </c>
      <c r="D818">
        <v>2030</v>
      </c>
      <c r="E818" t="s">
        <v>120</v>
      </c>
      <c r="F818" t="s">
        <v>107</v>
      </c>
      <c r="G818" t="s">
        <v>29</v>
      </c>
      <c r="H818">
        <v>2157.4826593505245</v>
      </c>
      <c r="I818">
        <v>25517.626153468329</v>
      </c>
      <c r="J818">
        <v>0</v>
      </c>
      <c r="K818">
        <v>25517.626153468329</v>
      </c>
    </row>
    <row r="819" spans="1:11" x14ac:dyDescent="0.25">
      <c r="A819" t="s">
        <v>152</v>
      </c>
      <c r="B819" t="s">
        <v>42</v>
      </c>
      <c r="C819" t="s">
        <v>30</v>
      </c>
      <c r="D819">
        <v>2030</v>
      </c>
      <c r="E819" t="s">
        <v>120</v>
      </c>
      <c r="F819" t="s">
        <v>107</v>
      </c>
      <c r="G819" t="s">
        <v>30</v>
      </c>
      <c r="H819">
        <v>1574.7669994053397</v>
      </c>
      <c r="I819">
        <v>38122.609425445487</v>
      </c>
      <c r="J819">
        <v>0</v>
      </c>
      <c r="K819">
        <v>38122.609425445487</v>
      </c>
    </row>
    <row r="820" spans="1:11" x14ac:dyDescent="0.25">
      <c r="A820" t="s">
        <v>152</v>
      </c>
      <c r="B820" t="s">
        <v>42</v>
      </c>
      <c r="C820" t="s">
        <v>54</v>
      </c>
      <c r="D820">
        <v>2030</v>
      </c>
      <c r="E820" t="s">
        <v>120</v>
      </c>
      <c r="F820" t="s">
        <v>107</v>
      </c>
      <c r="G820" t="s">
        <v>54</v>
      </c>
      <c r="H820">
        <v>968.48766622770552</v>
      </c>
      <c r="I820">
        <v>44855.144885341317</v>
      </c>
      <c r="J820">
        <v>0</v>
      </c>
      <c r="K820">
        <v>44855.144885341317</v>
      </c>
    </row>
    <row r="821" spans="1:11" x14ac:dyDescent="0.25">
      <c r="A821" t="s">
        <v>152</v>
      </c>
      <c r="B821" t="s">
        <v>42</v>
      </c>
      <c r="C821" t="s">
        <v>53</v>
      </c>
      <c r="D821">
        <v>2030</v>
      </c>
      <c r="E821" t="s">
        <v>120</v>
      </c>
      <c r="F821" t="s">
        <v>107</v>
      </c>
      <c r="G821" t="s">
        <v>53</v>
      </c>
      <c r="H821">
        <v>4027.3009641209796</v>
      </c>
      <c r="I821">
        <v>148781.78770781061</v>
      </c>
      <c r="J821">
        <v>0</v>
      </c>
      <c r="K821">
        <v>148781.78770781061</v>
      </c>
    </row>
    <row r="822" spans="1:11" x14ac:dyDescent="0.25">
      <c r="A822" t="s">
        <v>152</v>
      </c>
      <c r="B822" t="s">
        <v>42</v>
      </c>
      <c r="C822" t="s">
        <v>40</v>
      </c>
      <c r="D822">
        <v>2030</v>
      </c>
      <c r="E822" t="s">
        <v>120</v>
      </c>
      <c r="F822" t="s">
        <v>107</v>
      </c>
      <c r="G822" t="s">
        <v>40</v>
      </c>
      <c r="H822">
        <v>146.00342294457823</v>
      </c>
      <c r="I822">
        <v>706.55436465569755</v>
      </c>
      <c r="J822">
        <v>0</v>
      </c>
      <c r="K822">
        <v>706.55436465569755</v>
      </c>
    </row>
    <row r="823" spans="1:11" x14ac:dyDescent="0.25">
      <c r="A823" t="s">
        <v>152</v>
      </c>
      <c r="B823" t="s">
        <v>42</v>
      </c>
      <c r="C823" t="s">
        <v>79</v>
      </c>
      <c r="D823">
        <v>2030</v>
      </c>
      <c r="E823" t="s">
        <v>120</v>
      </c>
      <c r="F823" t="s">
        <v>107</v>
      </c>
      <c r="G823" t="s">
        <v>79</v>
      </c>
      <c r="H823">
        <v>2011.3973667259413</v>
      </c>
      <c r="I823">
        <v>34160.944917544075</v>
      </c>
      <c r="J823">
        <v>0</v>
      </c>
      <c r="K823">
        <v>34160.944917544075</v>
      </c>
    </row>
    <row r="824" spans="1:11" x14ac:dyDescent="0.25">
      <c r="A824" t="s">
        <v>152</v>
      </c>
      <c r="B824" t="s">
        <v>42</v>
      </c>
      <c r="C824" t="s">
        <v>74</v>
      </c>
      <c r="D824">
        <v>2030</v>
      </c>
      <c r="E824" t="s">
        <v>120</v>
      </c>
      <c r="F824" t="s">
        <v>107</v>
      </c>
      <c r="G824" t="s">
        <v>51</v>
      </c>
      <c r="H824">
        <v>2905.0725014252848</v>
      </c>
      <c r="I824">
        <v>23660.800587386926</v>
      </c>
      <c r="J824">
        <v>4181.456775941504</v>
      </c>
      <c r="K824">
        <v>4181.456775941504</v>
      </c>
    </row>
    <row r="825" spans="1:11" x14ac:dyDescent="0.25">
      <c r="A825" t="s">
        <v>152</v>
      </c>
      <c r="B825" t="s">
        <v>42</v>
      </c>
      <c r="C825" t="s">
        <v>77</v>
      </c>
      <c r="D825">
        <v>2030</v>
      </c>
      <c r="E825" t="s">
        <v>120</v>
      </c>
      <c r="F825" t="s">
        <v>107</v>
      </c>
      <c r="G825" t="s">
        <v>77</v>
      </c>
      <c r="H825">
        <v>545.62268816170069</v>
      </c>
      <c r="I825">
        <v>15550.246612608471</v>
      </c>
      <c r="J825">
        <v>0</v>
      </c>
      <c r="K825">
        <v>15550.246612608471</v>
      </c>
    </row>
    <row r="826" spans="1:11" x14ac:dyDescent="0.25">
      <c r="A826" t="s">
        <v>152</v>
      </c>
      <c r="B826" t="s">
        <v>42</v>
      </c>
      <c r="C826" t="s">
        <v>64</v>
      </c>
      <c r="D826">
        <v>2030</v>
      </c>
      <c r="E826" t="s">
        <v>120</v>
      </c>
      <c r="F826" t="s">
        <v>107</v>
      </c>
      <c r="G826" t="s">
        <v>64</v>
      </c>
      <c r="H826">
        <v>209.81587038575631</v>
      </c>
      <c r="I826">
        <v>2916.9523443873441</v>
      </c>
      <c r="J826">
        <v>0</v>
      </c>
      <c r="K826">
        <v>2916.9523443873441</v>
      </c>
    </row>
    <row r="827" spans="1:11" x14ac:dyDescent="0.25">
      <c r="A827" t="s">
        <v>152</v>
      </c>
      <c r="B827" t="s">
        <v>42</v>
      </c>
      <c r="C827" t="s">
        <v>119</v>
      </c>
      <c r="D827">
        <v>2030</v>
      </c>
      <c r="E827" t="s">
        <v>120</v>
      </c>
      <c r="F827" t="s">
        <v>107</v>
      </c>
      <c r="G827" t="s">
        <v>52</v>
      </c>
      <c r="H827">
        <v>7910.769750951923</v>
      </c>
      <c r="I827">
        <v>109089.51486562703</v>
      </c>
      <c r="J827">
        <v>0</v>
      </c>
      <c r="K827">
        <v>109089.51486562703</v>
      </c>
    </row>
    <row r="828" spans="1:11" x14ac:dyDescent="0.25">
      <c r="A828" t="s">
        <v>152</v>
      </c>
      <c r="B828" t="s">
        <v>42</v>
      </c>
      <c r="C828" t="s">
        <v>28</v>
      </c>
      <c r="D828">
        <v>2050</v>
      </c>
      <c r="E828" t="s">
        <v>120</v>
      </c>
      <c r="F828" t="s">
        <v>107</v>
      </c>
      <c r="G828" t="s">
        <v>51</v>
      </c>
      <c r="H828">
        <v>36546.680911072115</v>
      </c>
      <c r="I828">
        <v>171648.79623503238</v>
      </c>
      <c r="J828">
        <v>64055.039535008211</v>
      </c>
      <c r="K828">
        <v>64055.039535008211</v>
      </c>
    </row>
    <row r="829" spans="1:11" x14ac:dyDescent="0.25">
      <c r="A829" t="s">
        <v>152</v>
      </c>
      <c r="B829" t="s">
        <v>42</v>
      </c>
      <c r="C829" t="s">
        <v>33</v>
      </c>
      <c r="D829">
        <v>2050</v>
      </c>
      <c r="E829" t="s">
        <v>120</v>
      </c>
      <c r="F829" t="s">
        <v>107</v>
      </c>
      <c r="G829" t="s">
        <v>51</v>
      </c>
      <c r="H829">
        <v>10874.866027197068</v>
      </c>
      <c r="I829">
        <v>23926.880233038988</v>
      </c>
      <c r="J829">
        <v>8121.3999191201628</v>
      </c>
      <c r="K829">
        <v>8121.3999191201628</v>
      </c>
    </row>
    <row r="830" spans="1:11" x14ac:dyDescent="0.25">
      <c r="A830" t="s">
        <v>152</v>
      </c>
      <c r="B830" t="s">
        <v>42</v>
      </c>
      <c r="C830" t="s">
        <v>71</v>
      </c>
      <c r="D830">
        <v>2050</v>
      </c>
      <c r="E830" t="s">
        <v>120</v>
      </c>
      <c r="F830" t="s">
        <v>107</v>
      </c>
      <c r="G830" t="s">
        <v>51</v>
      </c>
      <c r="H830">
        <v>5823.373860374013</v>
      </c>
      <c r="I830">
        <v>14092.564742105114</v>
      </c>
      <c r="J830">
        <v>8605.6246597664867</v>
      </c>
      <c r="K830">
        <v>8605.6246597664867</v>
      </c>
    </row>
    <row r="831" spans="1:11" x14ac:dyDescent="0.25">
      <c r="A831" t="s">
        <v>152</v>
      </c>
      <c r="B831" t="s">
        <v>42</v>
      </c>
      <c r="C831" t="s">
        <v>52</v>
      </c>
      <c r="D831">
        <v>2050</v>
      </c>
      <c r="E831" t="s">
        <v>120</v>
      </c>
      <c r="F831" t="s">
        <v>107</v>
      </c>
      <c r="G831" t="s">
        <v>52</v>
      </c>
      <c r="H831">
        <v>11587.971996193597</v>
      </c>
      <c r="I831">
        <v>448496.23295187851</v>
      </c>
      <c r="J831">
        <v>0</v>
      </c>
      <c r="K831">
        <v>448496.23295187851</v>
      </c>
    </row>
    <row r="832" spans="1:11" x14ac:dyDescent="0.25">
      <c r="A832" t="s">
        <v>152</v>
      </c>
      <c r="B832" t="s">
        <v>42</v>
      </c>
      <c r="C832" t="s">
        <v>29</v>
      </c>
      <c r="D832">
        <v>2050</v>
      </c>
      <c r="E832" t="s">
        <v>120</v>
      </c>
      <c r="F832" t="s">
        <v>107</v>
      </c>
      <c r="G832" t="s">
        <v>29</v>
      </c>
      <c r="H832">
        <v>3476.3915988580789</v>
      </c>
      <c r="I832">
        <v>41117.021635493933</v>
      </c>
      <c r="J832">
        <v>0</v>
      </c>
      <c r="K832">
        <v>41117.021635493933</v>
      </c>
    </row>
    <row r="833" spans="1:11" x14ac:dyDescent="0.25">
      <c r="A833" t="s">
        <v>152</v>
      </c>
      <c r="B833" t="s">
        <v>42</v>
      </c>
      <c r="C833" t="s">
        <v>30</v>
      </c>
      <c r="D833">
        <v>2050</v>
      </c>
      <c r="E833" t="s">
        <v>120</v>
      </c>
      <c r="F833" t="s">
        <v>107</v>
      </c>
      <c r="G833" t="s">
        <v>30</v>
      </c>
      <c r="H833">
        <v>1951.8854685593769</v>
      </c>
      <c r="I833">
        <v>47252.048962920031</v>
      </c>
      <c r="J833">
        <v>0</v>
      </c>
      <c r="K833">
        <v>47252.048962920031</v>
      </c>
    </row>
    <row r="834" spans="1:11" x14ac:dyDescent="0.25">
      <c r="A834" t="s">
        <v>152</v>
      </c>
      <c r="B834" t="s">
        <v>42</v>
      </c>
      <c r="C834" t="s">
        <v>54</v>
      </c>
      <c r="D834">
        <v>2050</v>
      </c>
      <c r="E834" t="s">
        <v>120</v>
      </c>
      <c r="F834" t="s">
        <v>107</v>
      </c>
      <c r="G834" t="s">
        <v>54</v>
      </c>
      <c r="H834">
        <v>3565.529844982645</v>
      </c>
      <c r="I834">
        <v>165136.18434878724</v>
      </c>
      <c r="J834">
        <v>0</v>
      </c>
      <c r="K834">
        <v>165136.18434878724</v>
      </c>
    </row>
    <row r="835" spans="1:11" x14ac:dyDescent="0.25">
      <c r="A835" t="s">
        <v>152</v>
      </c>
      <c r="B835" t="s">
        <v>42</v>
      </c>
      <c r="C835" t="s">
        <v>53</v>
      </c>
      <c r="D835">
        <v>2050</v>
      </c>
      <c r="E835" t="s">
        <v>120</v>
      </c>
      <c r="F835" t="s">
        <v>107</v>
      </c>
      <c r="G835" t="s">
        <v>53</v>
      </c>
      <c r="H835">
        <v>4991.7417829757032</v>
      </c>
      <c r="I835">
        <v>184411.41421100631</v>
      </c>
      <c r="J835">
        <v>0</v>
      </c>
      <c r="K835">
        <v>184411.41421100631</v>
      </c>
    </row>
    <row r="836" spans="1:11" x14ac:dyDescent="0.25">
      <c r="A836" t="s">
        <v>152</v>
      </c>
      <c r="B836" t="s">
        <v>42</v>
      </c>
      <c r="C836" t="s">
        <v>40</v>
      </c>
      <c r="D836">
        <v>2050</v>
      </c>
      <c r="E836" t="s">
        <v>120</v>
      </c>
      <c r="F836" t="s">
        <v>107</v>
      </c>
      <c r="G836" t="s">
        <v>40</v>
      </c>
      <c r="H836">
        <v>180.96769853131627</v>
      </c>
      <c r="I836">
        <v>875.75698350259881</v>
      </c>
      <c r="J836">
        <v>0</v>
      </c>
      <c r="K836">
        <v>875.75698350259881</v>
      </c>
    </row>
    <row r="837" spans="1:11" x14ac:dyDescent="0.25">
      <c r="A837" t="s">
        <v>152</v>
      </c>
      <c r="B837" t="s">
        <v>42</v>
      </c>
      <c r="C837" t="s">
        <v>79</v>
      </c>
      <c r="D837">
        <v>2050</v>
      </c>
      <c r="E837" t="s">
        <v>120</v>
      </c>
      <c r="F837" t="s">
        <v>107</v>
      </c>
      <c r="G837" t="s">
        <v>79</v>
      </c>
      <c r="H837">
        <v>2493.0782097246743</v>
      </c>
      <c r="I837">
        <v>42341.661974114584</v>
      </c>
      <c r="J837">
        <v>0</v>
      </c>
      <c r="K837">
        <v>42341.661974114584</v>
      </c>
    </row>
    <row r="838" spans="1:11" x14ac:dyDescent="0.25">
      <c r="A838" t="s">
        <v>152</v>
      </c>
      <c r="B838" t="s">
        <v>42</v>
      </c>
      <c r="C838" t="s">
        <v>74</v>
      </c>
      <c r="D838">
        <v>2050</v>
      </c>
      <c r="E838" t="s">
        <v>120</v>
      </c>
      <c r="F838" t="s">
        <v>107</v>
      </c>
      <c r="G838" t="s">
        <v>51</v>
      </c>
      <c r="H838">
        <v>3600.7668453712117</v>
      </c>
      <c r="I838">
        <v>29326.987966118992</v>
      </c>
      <c r="J838">
        <v>5570.3142944523561</v>
      </c>
      <c r="K838">
        <v>5570.3142944523561</v>
      </c>
    </row>
    <row r="839" spans="1:11" x14ac:dyDescent="0.25">
      <c r="A839" t="s">
        <v>152</v>
      </c>
      <c r="B839" t="s">
        <v>42</v>
      </c>
      <c r="C839" t="s">
        <v>77</v>
      </c>
      <c r="D839">
        <v>2050</v>
      </c>
      <c r="E839" t="s">
        <v>120</v>
      </c>
      <c r="F839" t="s">
        <v>107</v>
      </c>
      <c r="G839" t="s">
        <v>77</v>
      </c>
      <c r="H839">
        <v>676.28607707761751</v>
      </c>
      <c r="I839">
        <v>19274.153196712097</v>
      </c>
      <c r="J839">
        <v>0</v>
      </c>
      <c r="K839">
        <v>19274.153196712097</v>
      </c>
    </row>
    <row r="840" spans="1:11" x14ac:dyDescent="0.25">
      <c r="A840" t="s">
        <v>152</v>
      </c>
      <c r="B840" t="s">
        <v>42</v>
      </c>
      <c r="C840" t="s">
        <v>64</v>
      </c>
      <c r="D840">
        <v>2050</v>
      </c>
      <c r="E840" t="s">
        <v>120</v>
      </c>
      <c r="F840" t="s">
        <v>107</v>
      </c>
      <c r="G840" t="s">
        <v>64</v>
      </c>
      <c r="H840">
        <v>260.06167809824814</v>
      </c>
      <c r="I840">
        <v>3615.4916223414984</v>
      </c>
      <c r="J840">
        <v>0</v>
      </c>
      <c r="K840">
        <v>3615.4916223414984</v>
      </c>
    </row>
    <row r="841" spans="1:11" x14ac:dyDescent="0.25">
      <c r="A841" t="s">
        <v>152</v>
      </c>
      <c r="B841" t="s">
        <v>42</v>
      </c>
      <c r="C841" t="s">
        <v>119</v>
      </c>
      <c r="D841">
        <v>2050</v>
      </c>
      <c r="E841" t="s">
        <v>120</v>
      </c>
      <c r="F841" t="s">
        <v>107</v>
      </c>
      <c r="G841" t="s">
        <v>52</v>
      </c>
      <c r="H841">
        <v>3119.838614359815</v>
      </c>
      <c r="I841">
        <v>43022.574492021849</v>
      </c>
      <c r="J841">
        <v>0</v>
      </c>
      <c r="K841">
        <v>43022.574492021849</v>
      </c>
    </row>
    <row r="842" spans="1:11" x14ac:dyDescent="0.25">
      <c r="A842" t="s">
        <v>152</v>
      </c>
      <c r="B842" t="s">
        <v>42</v>
      </c>
      <c r="C842" t="s">
        <v>28</v>
      </c>
      <c r="D842">
        <v>2019</v>
      </c>
      <c r="E842" t="s">
        <v>118</v>
      </c>
      <c r="F842" t="s">
        <v>108</v>
      </c>
      <c r="G842" t="s">
        <v>51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152</v>
      </c>
      <c r="B843" t="s">
        <v>42</v>
      </c>
      <c r="C843" t="s">
        <v>33</v>
      </c>
      <c r="D843">
        <v>2019</v>
      </c>
      <c r="E843" t="s">
        <v>118</v>
      </c>
      <c r="F843" t="s">
        <v>108</v>
      </c>
      <c r="G843" t="s">
        <v>51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152</v>
      </c>
      <c r="B844" t="s">
        <v>42</v>
      </c>
      <c r="C844" t="s">
        <v>71</v>
      </c>
      <c r="D844">
        <v>2019</v>
      </c>
      <c r="E844" t="s">
        <v>118</v>
      </c>
      <c r="F844" t="s">
        <v>108</v>
      </c>
      <c r="G844" t="s">
        <v>51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152</v>
      </c>
      <c r="B845" t="s">
        <v>42</v>
      </c>
      <c r="C845" t="s">
        <v>52</v>
      </c>
      <c r="D845">
        <v>2019</v>
      </c>
      <c r="E845" t="s">
        <v>118</v>
      </c>
      <c r="F845" t="s">
        <v>108</v>
      </c>
      <c r="G845" t="s">
        <v>52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152</v>
      </c>
      <c r="B846" t="s">
        <v>42</v>
      </c>
      <c r="C846" t="s">
        <v>29</v>
      </c>
      <c r="D846">
        <v>2019</v>
      </c>
      <c r="E846" t="s">
        <v>118</v>
      </c>
      <c r="F846" t="s">
        <v>108</v>
      </c>
      <c r="G846" t="s">
        <v>29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152</v>
      </c>
      <c r="B847" t="s">
        <v>42</v>
      </c>
      <c r="C847" t="s">
        <v>30</v>
      </c>
      <c r="D847">
        <v>2019</v>
      </c>
      <c r="E847" t="s">
        <v>118</v>
      </c>
      <c r="F847" t="s">
        <v>108</v>
      </c>
      <c r="G847" t="s">
        <v>30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152</v>
      </c>
      <c r="B848" t="s">
        <v>42</v>
      </c>
      <c r="C848" t="s">
        <v>54</v>
      </c>
      <c r="D848">
        <v>2019</v>
      </c>
      <c r="E848" t="s">
        <v>118</v>
      </c>
      <c r="F848" t="s">
        <v>108</v>
      </c>
      <c r="G848" t="s">
        <v>54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152</v>
      </c>
      <c r="B849" t="s">
        <v>42</v>
      </c>
      <c r="C849" t="s">
        <v>53</v>
      </c>
      <c r="D849">
        <v>2019</v>
      </c>
      <c r="E849" t="s">
        <v>118</v>
      </c>
      <c r="F849" t="s">
        <v>108</v>
      </c>
      <c r="G849" t="s">
        <v>53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152</v>
      </c>
      <c r="B850" t="s">
        <v>42</v>
      </c>
      <c r="C850" t="s">
        <v>40</v>
      </c>
      <c r="D850">
        <v>2019</v>
      </c>
      <c r="E850" t="s">
        <v>118</v>
      </c>
      <c r="F850" t="s">
        <v>108</v>
      </c>
      <c r="G850" t="s">
        <v>40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152</v>
      </c>
      <c r="B851" t="s">
        <v>42</v>
      </c>
      <c r="C851" t="s">
        <v>79</v>
      </c>
      <c r="D851">
        <v>2019</v>
      </c>
      <c r="E851" t="s">
        <v>118</v>
      </c>
      <c r="F851" t="s">
        <v>108</v>
      </c>
      <c r="G851" t="s">
        <v>79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152</v>
      </c>
      <c r="B852" t="s">
        <v>42</v>
      </c>
      <c r="C852" t="s">
        <v>74</v>
      </c>
      <c r="D852">
        <v>2019</v>
      </c>
      <c r="E852" t="s">
        <v>118</v>
      </c>
      <c r="F852" t="s">
        <v>108</v>
      </c>
      <c r="G852" t="s">
        <v>51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152</v>
      </c>
      <c r="B853" t="s">
        <v>42</v>
      </c>
      <c r="C853" t="s">
        <v>77</v>
      </c>
      <c r="D853">
        <v>2019</v>
      </c>
      <c r="E853" t="s">
        <v>118</v>
      </c>
      <c r="F853" t="s">
        <v>108</v>
      </c>
      <c r="G853" t="s">
        <v>77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152</v>
      </c>
      <c r="B854" t="s">
        <v>42</v>
      </c>
      <c r="C854" t="s">
        <v>64</v>
      </c>
      <c r="D854">
        <v>2019</v>
      </c>
      <c r="E854" t="s">
        <v>118</v>
      </c>
      <c r="F854" t="s">
        <v>108</v>
      </c>
      <c r="G854" t="s">
        <v>64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152</v>
      </c>
      <c r="B855" t="s">
        <v>42</v>
      </c>
      <c r="C855" t="s">
        <v>119</v>
      </c>
      <c r="D855">
        <v>2019</v>
      </c>
      <c r="E855" t="s">
        <v>118</v>
      </c>
      <c r="F855" t="s">
        <v>108</v>
      </c>
      <c r="G855" t="s">
        <v>52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152</v>
      </c>
      <c r="B856" t="s">
        <v>42</v>
      </c>
      <c r="C856" t="s">
        <v>28</v>
      </c>
      <c r="D856">
        <v>2030</v>
      </c>
      <c r="E856" t="s">
        <v>118</v>
      </c>
      <c r="F856" t="s">
        <v>108</v>
      </c>
      <c r="G856" t="s">
        <v>51</v>
      </c>
      <c r="H856">
        <v>2543.5912283773305</v>
      </c>
      <c r="I856">
        <v>21396.689413110103</v>
      </c>
      <c r="J856">
        <v>7429.2515145730249</v>
      </c>
      <c r="K856">
        <v>7429.2515145730249</v>
      </c>
    </row>
    <row r="857" spans="1:11" x14ac:dyDescent="0.25">
      <c r="A857" t="s">
        <v>152</v>
      </c>
      <c r="B857" t="s">
        <v>42</v>
      </c>
      <c r="C857" t="s">
        <v>33</v>
      </c>
      <c r="D857">
        <v>2030</v>
      </c>
      <c r="E857" t="s">
        <v>118</v>
      </c>
      <c r="F857" t="s">
        <v>108</v>
      </c>
      <c r="G857" t="s">
        <v>51</v>
      </c>
      <c r="H857">
        <v>68.782772699511852</v>
      </c>
      <c r="I857">
        <v>318.6018031441389</v>
      </c>
      <c r="J857">
        <v>100.6187662397337</v>
      </c>
      <c r="K857">
        <v>100.6187662397337</v>
      </c>
    </row>
    <row r="858" spans="1:11" x14ac:dyDescent="0.25">
      <c r="A858" t="s">
        <v>152</v>
      </c>
      <c r="B858" t="s">
        <v>42</v>
      </c>
      <c r="C858" t="s">
        <v>71</v>
      </c>
      <c r="D858">
        <v>2030</v>
      </c>
      <c r="E858" t="s">
        <v>118</v>
      </c>
      <c r="F858" t="s">
        <v>108</v>
      </c>
      <c r="G858" t="s">
        <v>51</v>
      </c>
      <c r="H858">
        <v>277.82436371988916</v>
      </c>
      <c r="I858">
        <v>1466.9126404410149</v>
      </c>
      <c r="J858">
        <v>833.45575491937143</v>
      </c>
      <c r="K858">
        <v>833.45575491937143</v>
      </c>
    </row>
    <row r="859" spans="1:11" x14ac:dyDescent="0.25">
      <c r="A859" t="s">
        <v>152</v>
      </c>
      <c r="B859" t="s">
        <v>42</v>
      </c>
      <c r="C859" t="s">
        <v>52</v>
      </c>
      <c r="D859">
        <v>2030</v>
      </c>
      <c r="E859" t="s">
        <v>118</v>
      </c>
      <c r="F859" t="s">
        <v>108</v>
      </c>
      <c r="G859" t="s">
        <v>52</v>
      </c>
      <c r="H859">
        <v>816.92003872404018</v>
      </c>
      <c r="I859">
        <v>48642.686785784252</v>
      </c>
      <c r="J859">
        <v>0</v>
      </c>
      <c r="K859">
        <v>48642.686785784252</v>
      </c>
    </row>
    <row r="860" spans="1:11" x14ac:dyDescent="0.25">
      <c r="A860" t="s">
        <v>152</v>
      </c>
      <c r="B860" t="s">
        <v>42</v>
      </c>
      <c r="C860" t="s">
        <v>29</v>
      </c>
      <c r="D860">
        <v>2030</v>
      </c>
      <c r="E860" t="s">
        <v>118</v>
      </c>
      <c r="F860" t="s">
        <v>108</v>
      </c>
      <c r="G860" t="s">
        <v>29</v>
      </c>
      <c r="H860">
        <v>15.47158083370352</v>
      </c>
      <c r="I860">
        <v>385.24236275921766</v>
      </c>
      <c r="J860">
        <v>0</v>
      </c>
      <c r="K860">
        <v>385.24236275921766</v>
      </c>
    </row>
    <row r="861" spans="1:11" x14ac:dyDescent="0.25">
      <c r="A861" t="s">
        <v>152</v>
      </c>
      <c r="B861" t="s">
        <v>42</v>
      </c>
      <c r="C861" t="s">
        <v>30</v>
      </c>
      <c r="D861">
        <v>2030</v>
      </c>
      <c r="E861" t="s">
        <v>118</v>
      </c>
      <c r="F861" t="s">
        <v>108</v>
      </c>
      <c r="G861" t="s">
        <v>30</v>
      </c>
      <c r="H861">
        <v>26.303103413603303</v>
      </c>
      <c r="I861">
        <v>1340.5397530221824</v>
      </c>
      <c r="J861">
        <v>0</v>
      </c>
      <c r="K861">
        <v>1340.5397530221824</v>
      </c>
    </row>
    <row r="862" spans="1:11" x14ac:dyDescent="0.25">
      <c r="A862" t="s">
        <v>152</v>
      </c>
      <c r="B862" t="s">
        <v>42</v>
      </c>
      <c r="C862" t="s">
        <v>54</v>
      </c>
      <c r="D862">
        <v>2030</v>
      </c>
      <c r="E862" t="s">
        <v>118</v>
      </c>
      <c r="F862" t="s">
        <v>108</v>
      </c>
      <c r="G862" t="s">
        <v>54</v>
      </c>
      <c r="H862">
        <v>73.485337039665154</v>
      </c>
      <c r="I862">
        <v>7165.1494001899164</v>
      </c>
      <c r="J862">
        <v>0</v>
      </c>
      <c r="K862">
        <v>7165.1494001899164</v>
      </c>
    </row>
    <row r="863" spans="1:11" x14ac:dyDescent="0.25">
      <c r="A863" t="s">
        <v>152</v>
      </c>
      <c r="B863" t="s">
        <v>42</v>
      </c>
      <c r="C863" t="s">
        <v>53</v>
      </c>
      <c r="D863">
        <v>2030</v>
      </c>
      <c r="E863" t="s">
        <v>118</v>
      </c>
      <c r="F863" t="s">
        <v>108</v>
      </c>
      <c r="G863" t="s">
        <v>53</v>
      </c>
      <c r="H863">
        <v>78.346709324351167</v>
      </c>
      <c r="I863">
        <v>4184.6544384322442</v>
      </c>
      <c r="J863">
        <v>0</v>
      </c>
      <c r="K863">
        <v>4184.6544384322442</v>
      </c>
    </row>
    <row r="864" spans="1:11" x14ac:dyDescent="0.25">
      <c r="A864" t="s">
        <v>152</v>
      </c>
      <c r="B864" t="s">
        <v>42</v>
      </c>
      <c r="C864" t="s">
        <v>40</v>
      </c>
      <c r="D864">
        <v>2030</v>
      </c>
      <c r="E864" t="s">
        <v>118</v>
      </c>
      <c r="F864" t="s">
        <v>108</v>
      </c>
      <c r="G864" t="s">
        <v>40</v>
      </c>
      <c r="H864">
        <v>16.900995738263163</v>
      </c>
      <c r="I864">
        <v>172.18734458142512</v>
      </c>
      <c r="J864">
        <v>0</v>
      </c>
      <c r="K864">
        <v>172.18734458142512</v>
      </c>
    </row>
    <row r="865" spans="1:11" x14ac:dyDescent="0.25">
      <c r="A865" t="s">
        <v>152</v>
      </c>
      <c r="B865" t="s">
        <v>42</v>
      </c>
      <c r="C865" t="s">
        <v>79</v>
      </c>
      <c r="D865">
        <v>2030</v>
      </c>
      <c r="E865" t="s">
        <v>118</v>
      </c>
      <c r="F865" t="s">
        <v>108</v>
      </c>
      <c r="G865" t="s">
        <v>79</v>
      </c>
      <c r="H865">
        <v>120.68130675187054</v>
      </c>
      <c r="I865">
        <v>4314.976078167404</v>
      </c>
      <c r="J865">
        <v>0</v>
      </c>
      <c r="K865">
        <v>4314.976078167404</v>
      </c>
    </row>
    <row r="866" spans="1:11" x14ac:dyDescent="0.25">
      <c r="A866" t="s">
        <v>152</v>
      </c>
      <c r="B866" t="s">
        <v>42</v>
      </c>
      <c r="C866" t="s">
        <v>74</v>
      </c>
      <c r="D866">
        <v>2030</v>
      </c>
      <c r="E866" t="s">
        <v>118</v>
      </c>
      <c r="F866" t="s">
        <v>108</v>
      </c>
      <c r="G866" t="s">
        <v>51</v>
      </c>
      <c r="H866">
        <v>876.14056409986233</v>
      </c>
      <c r="I866">
        <v>15022.860631400607</v>
      </c>
      <c r="J866">
        <v>2654.9161829579666</v>
      </c>
      <c r="K866">
        <v>2654.9161829579666</v>
      </c>
    </row>
    <row r="867" spans="1:11" x14ac:dyDescent="0.25">
      <c r="A867" t="s">
        <v>152</v>
      </c>
      <c r="B867" t="s">
        <v>42</v>
      </c>
      <c r="C867" t="s">
        <v>77</v>
      </c>
      <c r="D867">
        <v>2030</v>
      </c>
      <c r="E867" t="s">
        <v>118</v>
      </c>
      <c r="F867" t="s">
        <v>108</v>
      </c>
      <c r="G867" t="s">
        <v>77</v>
      </c>
      <c r="H867">
        <v>26.483764144438243</v>
      </c>
      <c r="I867">
        <v>1589.0258486662945</v>
      </c>
      <c r="J867">
        <v>0</v>
      </c>
      <c r="K867">
        <v>1589.0258486662945</v>
      </c>
    </row>
    <row r="868" spans="1:11" x14ac:dyDescent="0.25">
      <c r="A868" t="s">
        <v>152</v>
      </c>
      <c r="B868" t="s">
        <v>42</v>
      </c>
      <c r="C868" t="s">
        <v>64</v>
      </c>
      <c r="D868">
        <v>2030</v>
      </c>
      <c r="E868" t="s">
        <v>118</v>
      </c>
      <c r="F868" t="s">
        <v>108</v>
      </c>
      <c r="G868" t="s">
        <v>64</v>
      </c>
      <c r="H868">
        <v>56.208438932954692</v>
      </c>
      <c r="I868">
        <v>1645.1250419401372</v>
      </c>
      <c r="J868">
        <v>0</v>
      </c>
      <c r="K868">
        <v>1645.1250419401372</v>
      </c>
    </row>
    <row r="869" spans="1:11" x14ac:dyDescent="0.25">
      <c r="A869" t="s">
        <v>152</v>
      </c>
      <c r="B869" t="s">
        <v>42</v>
      </c>
      <c r="C869" t="s">
        <v>119</v>
      </c>
      <c r="D869">
        <v>2030</v>
      </c>
      <c r="E869" t="s">
        <v>118</v>
      </c>
      <c r="F869" t="s">
        <v>108</v>
      </c>
      <c r="G869" t="s">
        <v>52</v>
      </c>
      <c r="H869">
        <v>1629.0025287440153</v>
      </c>
      <c r="I869">
        <v>26956.733845655966</v>
      </c>
      <c r="J869">
        <v>0</v>
      </c>
      <c r="K869">
        <v>26956.733845655966</v>
      </c>
    </row>
    <row r="870" spans="1:11" x14ac:dyDescent="0.25">
      <c r="A870" t="s">
        <v>152</v>
      </c>
      <c r="B870" t="s">
        <v>42</v>
      </c>
      <c r="C870" t="s">
        <v>28</v>
      </c>
      <c r="D870">
        <v>2050</v>
      </c>
      <c r="E870" t="s">
        <v>118</v>
      </c>
      <c r="F870" t="s">
        <v>108</v>
      </c>
      <c r="G870" t="s">
        <v>28</v>
      </c>
      <c r="H870">
        <v>0</v>
      </c>
      <c r="I870">
        <v>0</v>
      </c>
      <c r="J870">
        <v>0</v>
      </c>
      <c r="K870">
        <v>0</v>
      </c>
    </row>
    <row r="871" spans="1:11" x14ac:dyDescent="0.25">
      <c r="A871" t="s">
        <v>152</v>
      </c>
      <c r="B871" t="s">
        <v>42</v>
      </c>
      <c r="C871" t="s">
        <v>33</v>
      </c>
      <c r="D871">
        <v>2050</v>
      </c>
      <c r="E871" t="s">
        <v>118</v>
      </c>
      <c r="F871" t="s">
        <v>108</v>
      </c>
      <c r="G871" t="s">
        <v>33</v>
      </c>
      <c r="H871">
        <v>0</v>
      </c>
      <c r="I871">
        <v>0</v>
      </c>
      <c r="J871">
        <v>0</v>
      </c>
      <c r="K871">
        <v>0</v>
      </c>
    </row>
    <row r="872" spans="1:11" x14ac:dyDescent="0.25">
      <c r="A872" t="s">
        <v>152</v>
      </c>
      <c r="B872" t="s">
        <v>42</v>
      </c>
      <c r="C872" t="s">
        <v>71</v>
      </c>
      <c r="D872">
        <v>2050</v>
      </c>
      <c r="E872" t="s">
        <v>118</v>
      </c>
      <c r="F872" t="s">
        <v>108</v>
      </c>
      <c r="G872" t="s">
        <v>71</v>
      </c>
      <c r="H872">
        <v>0</v>
      </c>
      <c r="I872">
        <v>0</v>
      </c>
      <c r="J872">
        <v>0</v>
      </c>
      <c r="K872">
        <v>0</v>
      </c>
    </row>
    <row r="873" spans="1:11" x14ac:dyDescent="0.25">
      <c r="A873" t="s">
        <v>152</v>
      </c>
      <c r="B873" t="s">
        <v>42</v>
      </c>
      <c r="C873" t="s">
        <v>52</v>
      </c>
      <c r="D873">
        <v>2050</v>
      </c>
      <c r="E873" t="s">
        <v>118</v>
      </c>
      <c r="F873" t="s">
        <v>108</v>
      </c>
      <c r="G873" t="s">
        <v>52</v>
      </c>
      <c r="H873">
        <v>0</v>
      </c>
      <c r="I873">
        <v>0</v>
      </c>
      <c r="J873">
        <v>0</v>
      </c>
      <c r="K873">
        <v>0</v>
      </c>
    </row>
    <row r="874" spans="1:11" x14ac:dyDescent="0.25">
      <c r="A874" t="s">
        <v>152</v>
      </c>
      <c r="B874" t="s">
        <v>42</v>
      </c>
      <c r="C874" t="s">
        <v>29</v>
      </c>
      <c r="D874">
        <v>2050</v>
      </c>
      <c r="E874" t="s">
        <v>118</v>
      </c>
      <c r="F874" t="s">
        <v>108</v>
      </c>
      <c r="G874" t="s">
        <v>29</v>
      </c>
      <c r="H874">
        <v>0</v>
      </c>
      <c r="I874">
        <v>0</v>
      </c>
      <c r="J874">
        <v>0</v>
      </c>
      <c r="K874">
        <v>0</v>
      </c>
    </row>
    <row r="875" spans="1:11" x14ac:dyDescent="0.25">
      <c r="A875" t="s">
        <v>152</v>
      </c>
      <c r="B875" t="s">
        <v>42</v>
      </c>
      <c r="C875" t="s">
        <v>30</v>
      </c>
      <c r="D875">
        <v>2050</v>
      </c>
      <c r="E875" t="s">
        <v>118</v>
      </c>
      <c r="F875" t="s">
        <v>108</v>
      </c>
      <c r="G875" t="s">
        <v>30</v>
      </c>
      <c r="H875">
        <v>0</v>
      </c>
      <c r="I875">
        <v>0</v>
      </c>
      <c r="J875">
        <v>0</v>
      </c>
      <c r="K875">
        <v>0</v>
      </c>
    </row>
    <row r="876" spans="1:11" x14ac:dyDescent="0.25">
      <c r="A876" t="s">
        <v>152</v>
      </c>
      <c r="B876" t="s">
        <v>42</v>
      </c>
      <c r="C876" t="s">
        <v>54</v>
      </c>
      <c r="D876">
        <v>2050</v>
      </c>
      <c r="E876" t="s">
        <v>118</v>
      </c>
      <c r="F876" t="s">
        <v>108</v>
      </c>
      <c r="G876" t="s">
        <v>54</v>
      </c>
      <c r="H876">
        <v>0</v>
      </c>
      <c r="I876">
        <v>0</v>
      </c>
      <c r="J876">
        <v>0</v>
      </c>
      <c r="K876">
        <v>0</v>
      </c>
    </row>
    <row r="877" spans="1:11" x14ac:dyDescent="0.25">
      <c r="A877" t="s">
        <v>152</v>
      </c>
      <c r="B877" t="s">
        <v>42</v>
      </c>
      <c r="C877" t="s">
        <v>53</v>
      </c>
      <c r="D877">
        <v>2050</v>
      </c>
      <c r="E877" t="s">
        <v>118</v>
      </c>
      <c r="F877" t="s">
        <v>108</v>
      </c>
      <c r="G877" t="s">
        <v>53</v>
      </c>
      <c r="H877">
        <v>0</v>
      </c>
      <c r="I877">
        <v>0</v>
      </c>
      <c r="J877">
        <v>0</v>
      </c>
      <c r="K877">
        <v>0</v>
      </c>
    </row>
    <row r="878" spans="1:11" x14ac:dyDescent="0.25">
      <c r="A878" t="s">
        <v>152</v>
      </c>
      <c r="B878" t="s">
        <v>42</v>
      </c>
      <c r="C878" t="s">
        <v>40</v>
      </c>
      <c r="D878">
        <v>2050</v>
      </c>
      <c r="E878" t="s">
        <v>118</v>
      </c>
      <c r="F878" t="s">
        <v>108</v>
      </c>
      <c r="G878" t="s">
        <v>40</v>
      </c>
      <c r="H878">
        <v>0</v>
      </c>
      <c r="I878">
        <v>0</v>
      </c>
      <c r="J878">
        <v>0</v>
      </c>
      <c r="K878">
        <v>0</v>
      </c>
    </row>
    <row r="879" spans="1:11" x14ac:dyDescent="0.25">
      <c r="A879" t="s">
        <v>152</v>
      </c>
      <c r="B879" t="s">
        <v>42</v>
      </c>
      <c r="C879" t="s">
        <v>79</v>
      </c>
      <c r="D879">
        <v>2050</v>
      </c>
      <c r="E879" t="s">
        <v>118</v>
      </c>
      <c r="F879" t="s">
        <v>108</v>
      </c>
      <c r="G879" t="s">
        <v>79</v>
      </c>
      <c r="H879">
        <v>0</v>
      </c>
      <c r="I879">
        <v>0</v>
      </c>
      <c r="J879">
        <v>0</v>
      </c>
      <c r="K879">
        <v>0</v>
      </c>
    </row>
    <row r="880" spans="1:11" x14ac:dyDescent="0.25">
      <c r="A880" t="s">
        <v>152</v>
      </c>
      <c r="B880" t="s">
        <v>42</v>
      </c>
      <c r="C880" t="s">
        <v>74</v>
      </c>
      <c r="D880">
        <v>2050</v>
      </c>
      <c r="E880" t="s">
        <v>118</v>
      </c>
      <c r="F880" t="s">
        <v>108</v>
      </c>
      <c r="G880" t="s">
        <v>74</v>
      </c>
      <c r="H880">
        <v>0</v>
      </c>
      <c r="I880">
        <v>0</v>
      </c>
      <c r="J880">
        <v>0</v>
      </c>
      <c r="K880">
        <v>0</v>
      </c>
    </row>
    <row r="881" spans="1:11" x14ac:dyDescent="0.25">
      <c r="A881" t="s">
        <v>152</v>
      </c>
      <c r="B881" t="s">
        <v>42</v>
      </c>
      <c r="C881" t="s">
        <v>77</v>
      </c>
      <c r="D881">
        <v>2050</v>
      </c>
      <c r="E881" t="s">
        <v>118</v>
      </c>
      <c r="F881" t="s">
        <v>108</v>
      </c>
      <c r="G881" t="s">
        <v>77</v>
      </c>
      <c r="H881">
        <v>0</v>
      </c>
      <c r="I881">
        <v>0</v>
      </c>
      <c r="J881">
        <v>0</v>
      </c>
      <c r="K881">
        <v>0</v>
      </c>
    </row>
    <row r="882" spans="1:11" x14ac:dyDescent="0.25">
      <c r="A882" t="s">
        <v>152</v>
      </c>
      <c r="B882" t="s">
        <v>42</v>
      </c>
      <c r="C882" t="s">
        <v>64</v>
      </c>
      <c r="D882">
        <v>2050</v>
      </c>
      <c r="E882" t="s">
        <v>118</v>
      </c>
      <c r="F882" t="s">
        <v>108</v>
      </c>
      <c r="G882" t="s">
        <v>64</v>
      </c>
      <c r="H882">
        <v>0</v>
      </c>
      <c r="I882">
        <v>0</v>
      </c>
      <c r="J882">
        <v>0</v>
      </c>
      <c r="K882">
        <v>0</v>
      </c>
    </row>
    <row r="883" spans="1:11" x14ac:dyDescent="0.25">
      <c r="A883" t="s">
        <v>152</v>
      </c>
      <c r="B883" t="s">
        <v>42</v>
      </c>
      <c r="C883" t="s">
        <v>119</v>
      </c>
      <c r="D883">
        <v>2050</v>
      </c>
      <c r="E883" t="s">
        <v>118</v>
      </c>
      <c r="F883" t="s">
        <v>108</v>
      </c>
      <c r="G883" t="s">
        <v>52</v>
      </c>
      <c r="H883">
        <v>0</v>
      </c>
      <c r="I883">
        <v>0</v>
      </c>
      <c r="J883">
        <v>0</v>
      </c>
      <c r="K883">
        <v>0</v>
      </c>
    </row>
    <row r="884" spans="1:11" x14ac:dyDescent="0.25">
      <c r="A884" t="s">
        <v>152</v>
      </c>
      <c r="B884" t="s">
        <v>42</v>
      </c>
      <c r="C884" t="s">
        <v>28</v>
      </c>
      <c r="D884">
        <v>2019</v>
      </c>
      <c r="E884" t="s">
        <v>120</v>
      </c>
      <c r="F884" t="s">
        <v>108</v>
      </c>
      <c r="G884" t="s">
        <v>51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152</v>
      </c>
      <c r="B885" t="s">
        <v>42</v>
      </c>
      <c r="C885" t="s">
        <v>33</v>
      </c>
      <c r="D885">
        <v>2019</v>
      </c>
      <c r="E885" t="s">
        <v>120</v>
      </c>
      <c r="F885" t="s">
        <v>108</v>
      </c>
      <c r="G885" t="s">
        <v>51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152</v>
      </c>
      <c r="B886" t="s">
        <v>42</v>
      </c>
      <c r="C886" t="s">
        <v>71</v>
      </c>
      <c r="D886">
        <v>2019</v>
      </c>
      <c r="E886" t="s">
        <v>120</v>
      </c>
      <c r="F886" t="s">
        <v>108</v>
      </c>
      <c r="G886" t="s">
        <v>51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152</v>
      </c>
      <c r="B887" t="s">
        <v>42</v>
      </c>
      <c r="C887" t="s">
        <v>52</v>
      </c>
      <c r="D887">
        <v>2019</v>
      </c>
      <c r="E887" t="s">
        <v>120</v>
      </c>
      <c r="F887" t="s">
        <v>108</v>
      </c>
      <c r="G887" t="s">
        <v>52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152</v>
      </c>
      <c r="B888" t="s">
        <v>42</v>
      </c>
      <c r="C888" t="s">
        <v>29</v>
      </c>
      <c r="D888">
        <v>2019</v>
      </c>
      <c r="E888" t="s">
        <v>120</v>
      </c>
      <c r="F888" t="s">
        <v>108</v>
      </c>
      <c r="G888" t="s">
        <v>29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152</v>
      </c>
      <c r="B889" t="s">
        <v>42</v>
      </c>
      <c r="C889" t="s">
        <v>30</v>
      </c>
      <c r="D889">
        <v>2019</v>
      </c>
      <c r="E889" t="s">
        <v>120</v>
      </c>
      <c r="F889" t="s">
        <v>108</v>
      </c>
      <c r="G889" t="s">
        <v>30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152</v>
      </c>
      <c r="B890" t="s">
        <v>42</v>
      </c>
      <c r="C890" t="s">
        <v>54</v>
      </c>
      <c r="D890">
        <v>2019</v>
      </c>
      <c r="E890" t="s">
        <v>120</v>
      </c>
      <c r="F890" t="s">
        <v>108</v>
      </c>
      <c r="G890" t="s">
        <v>54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152</v>
      </c>
      <c r="B891" t="s">
        <v>42</v>
      </c>
      <c r="C891" t="s">
        <v>53</v>
      </c>
      <c r="D891">
        <v>2019</v>
      </c>
      <c r="E891" t="s">
        <v>120</v>
      </c>
      <c r="F891" t="s">
        <v>108</v>
      </c>
      <c r="G891" t="s">
        <v>53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152</v>
      </c>
      <c r="B892" t="s">
        <v>42</v>
      </c>
      <c r="C892" t="s">
        <v>40</v>
      </c>
      <c r="D892">
        <v>2019</v>
      </c>
      <c r="E892" t="s">
        <v>120</v>
      </c>
      <c r="F892" t="s">
        <v>108</v>
      </c>
      <c r="G892" t="s">
        <v>40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152</v>
      </c>
      <c r="B893" t="s">
        <v>42</v>
      </c>
      <c r="C893" t="s">
        <v>79</v>
      </c>
      <c r="D893">
        <v>2019</v>
      </c>
      <c r="E893" t="s">
        <v>120</v>
      </c>
      <c r="F893" t="s">
        <v>108</v>
      </c>
      <c r="G893" t="s">
        <v>79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152</v>
      </c>
      <c r="B894" t="s">
        <v>42</v>
      </c>
      <c r="C894" t="s">
        <v>74</v>
      </c>
      <c r="D894">
        <v>2019</v>
      </c>
      <c r="E894" t="s">
        <v>120</v>
      </c>
      <c r="F894" t="s">
        <v>108</v>
      </c>
      <c r="G894" t="s">
        <v>51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152</v>
      </c>
      <c r="B895" t="s">
        <v>42</v>
      </c>
      <c r="C895" t="s">
        <v>77</v>
      </c>
      <c r="D895">
        <v>2019</v>
      </c>
      <c r="E895" t="s">
        <v>120</v>
      </c>
      <c r="F895" t="s">
        <v>108</v>
      </c>
      <c r="G895" t="s">
        <v>77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152</v>
      </c>
      <c r="B896" t="s">
        <v>42</v>
      </c>
      <c r="C896" t="s">
        <v>64</v>
      </c>
      <c r="D896">
        <v>2019</v>
      </c>
      <c r="E896" t="s">
        <v>120</v>
      </c>
      <c r="F896" t="s">
        <v>108</v>
      </c>
      <c r="G896" t="s">
        <v>64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152</v>
      </c>
      <c r="B897" t="s">
        <v>42</v>
      </c>
      <c r="C897" t="s">
        <v>119</v>
      </c>
      <c r="D897">
        <v>2019</v>
      </c>
      <c r="E897" t="s">
        <v>120</v>
      </c>
      <c r="F897" t="s">
        <v>108</v>
      </c>
      <c r="G897" t="s">
        <v>52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152</v>
      </c>
      <c r="B898" t="s">
        <v>42</v>
      </c>
      <c r="C898" t="s">
        <v>28</v>
      </c>
      <c r="D898">
        <v>2030</v>
      </c>
      <c r="E898" t="s">
        <v>120</v>
      </c>
      <c r="F898" t="s">
        <v>108</v>
      </c>
      <c r="G898" t="s">
        <v>51</v>
      </c>
      <c r="H898">
        <v>396.97666570050825</v>
      </c>
      <c r="I898">
        <v>2237.3763669546925</v>
      </c>
      <c r="J898">
        <v>776.85063525217367</v>
      </c>
      <c r="K898">
        <v>776.85063525217367</v>
      </c>
    </row>
    <row r="899" spans="1:11" x14ac:dyDescent="0.25">
      <c r="A899" t="s">
        <v>152</v>
      </c>
      <c r="B899" t="s">
        <v>42</v>
      </c>
      <c r="C899" t="s">
        <v>33</v>
      </c>
      <c r="D899">
        <v>2030</v>
      </c>
      <c r="E899" t="s">
        <v>120</v>
      </c>
      <c r="F899" t="s">
        <v>108</v>
      </c>
      <c r="G899" t="s">
        <v>51</v>
      </c>
      <c r="H899">
        <v>10.734883600501851</v>
      </c>
      <c r="I899">
        <v>28.342669077389008</v>
      </c>
      <c r="J899">
        <v>8.9509989157774648</v>
      </c>
      <c r="K899">
        <v>8.9509989157774648</v>
      </c>
    </row>
    <row r="900" spans="1:11" x14ac:dyDescent="0.25">
      <c r="A900" t="s">
        <v>152</v>
      </c>
      <c r="B900" t="s">
        <v>42</v>
      </c>
      <c r="C900" t="s">
        <v>71</v>
      </c>
      <c r="D900">
        <v>2030</v>
      </c>
      <c r="E900" t="s">
        <v>120</v>
      </c>
      <c r="F900" t="s">
        <v>108</v>
      </c>
      <c r="G900" t="s">
        <v>51</v>
      </c>
      <c r="H900">
        <v>43.359871794433573</v>
      </c>
      <c r="I900">
        <v>125.9170676910351</v>
      </c>
      <c r="J900">
        <v>71.542300350015424</v>
      </c>
      <c r="K900">
        <v>71.542300350015424</v>
      </c>
    </row>
    <row r="901" spans="1:11" x14ac:dyDescent="0.25">
      <c r="A901" t="s">
        <v>152</v>
      </c>
      <c r="B901" t="s">
        <v>42</v>
      </c>
      <c r="C901" t="s">
        <v>52</v>
      </c>
      <c r="D901">
        <v>2030</v>
      </c>
      <c r="E901" t="s">
        <v>120</v>
      </c>
      <c r="F901" t="s">
        <v>108</v>
      </c>
      <c r="G901" t="s">
        <v>52</v>
      </c>
      <c r="H901">
        <v>127.49619101473459</v>
      </c>
      <c r="I901">
        <v>5921.4738942694585</v>
      </c>
      <c r="J901">
        <v>0</v>
      </c>
      <c r="K901">
        <v>5921.4738942694585</v>
      </c>
    </row>
    <row r="902" spans="1:11" x14ac:dyDescent="0.25">
      <c r="A902" t="s">
        <v>152</v>
      </c>
      <c r="B902" t="s">
        <v>42</v>
      </c>
      <c r="C902" t="s">
        <v>29</v>
      </c>
      <c r="D902">
        <v>2030</v>
      </c>
      <c r="E902" t="s">
        <v>120</v>
      </c>
      <c r="F902" t="s">
        <v>108</v>
      </c>
      <c r="G902" t="s">
        <v>29</v>
      </c>
      <c r="H902">
        <v>2.4146397832947688</v>
      </c>
      <c r="I902">
        <v>34.270982444302653</v>
      </c>
      <c r="J902">
        <v>0</v>
      </c>
      <c r="K902">
        <v>34.270982444302653</v>
      </c>
    </row>
    <row r="903" spans="1:11" x14ac:dyDescent="0.25">
      <c r="A903" t="s">
        <v>152</v>
      </c>
      <c r="B903" t="s">
        <v>42</v>
      </c>
      <c r="C903" t="s">
        <v>30</v>
      </c>
      <c r="D903">
        <v>2030</v>
      </c>
      <c r="E903" t="s">
        <v>120</v>
      </c>
      <c r="F903" t="s">
        <v>108</v>
      </c>
      <c r="G903" t="s">
        <v>30</v>
      </c>
      <c r="H903">
        <v>4.1051086252444469</v>
      </c>
      <c r="I903">
        <v>119.25379652607738</v>
      </c>
      <c r="J903">
        <v>0</v>
      </c>
      <c r="K903">
        <v>119.25379652607738</v>
      </c>
    </row>
    <row r="904" spans="1:11" x14ac:dyDescent="0.25">
      <c r="A904" t="s">
        <v>152</v>
      </c>
      <c r="B904" t="s">
        <v>42</v>
      </c>
      <c r="C904" t="s">
        <v>54</v>
      </c>
      <c r="D904">
        <v>2030</v>
      </c>
      <c r="E904" t="s">
        <v>120</v>
      </c>
      <c r="F904" t="s">
        <v>108</v>
      </c>
      <c r="G904" t="s">
        <v>54</v>
      </c>
      <c r="H904">
        <v>11.468809826999765</v>
      </c>
      <c r="I904">
        <v>637.40837727701046</v>
      </c>
      <c r="J904">
        <v>0</v>
      </c>
      <c r="K904">
        <v>637.40837727701046</v>
      </c>
    </row>
    <row r="905" spans="1:11" x14ac:dyDescent="0.25">
      <c r="A905" t="s">
        <v>152</v>
      </c>
      <c r="B905" t="s">
        <v>42</v>
      </c>
      <c r="C905" t="s">
        <v>53</v>
      </c>
      <c r="D905">
        <v>2030</v>
      </c>
      <c r="E905" t="s">
        <v>120</v>
      </c>
      <c r="F905" t="s">
        <v>108</v>
      </c>
      <c r="G905" t="s">
        <v>53</v>
      </c>
      <c r="H905">
        <v>12.227521108424749</v>
      </c>
      <c r="I905">
        <v>542.06997667784162</v>
      </c>
      <c r="J905">
        <v>0</v>
      </c>
      <c r="K905">
        <v>542.06997667784162</v>
      </c>
    </row>
    <row r="906" spans="1:11" x14ac:dyDescent="0.25">
      <c r="A906" t="s">
        <v>152</v>
      </c>
      <c r="B906" t="s">
        <v>42</v>
      </c>
      <c r="C906" t="s">
        <v>40</v>
      </c>
      <c r="D906">
        <v>2030</v>
      </c>
      <c r="E906" t="s">
        <v>120</v>
      </c>
      <c r="F906" t="s">
        <v>108</v>
      </c>
      <c r="G906" t="s">
        <v>40</v>
      </c>
      <c r="H906">
        <v>2.6377276585728633</v>
      </c>
      <c r="I906">
        <v>15.31770654975799</v>
      </c>
      <c r="J906">
        <v>0</v>
      </c>
      <c r="K906">
        <v>15.31770654975799</v>
      </c>
    </row>
    <row r="907" spans="1:11" x14ac:dyDescent="0.25">
      <c r="A907" t="s">
        <v>152</v>
      </c>
      <c r="B907" t="s">
        <v>42</v>
      </c>
      <c r="C907" t="s">
        <v>79</v>
      </c>
      <c r="D907">
        <v>2030</v>
      </c>
      <c r="E907" t="s">
        <v>120</v>
      </c>
      <c r="F907" t="s">
        <v>108</v>
      </c>
      <c r="G907" t="s">
        <v>79</v>
      </c>
      <c r="H907">
        <v>18.834654810985576</v>
      </c>
      <c r="I907">
        <v>383.85827654911185</v>
      </c>
      <c r="J907">
        <v>0</v>
      </c>
      <c r="K907">
        <v>383.85827654911185</v>
      </c>
    </row>
    <row r="908" spans="1:11" x14ac:dyDescent="0.25">
      <c r="A908" t="s">
        <v>152</v>
      </c>
      <c r="B908" t="s">
        <v>42</v>
      </c>
      <c r="C908" t="s">
        <v>74</v>
      </c>
      <c r="D908">
        <v>2030</v>
      </c>
      <c r="E908" t="s">
        <v>120</v>
      </c>
      <c r="F908" t="s">
        <v>108</v>
      </c>
      <c r="G908" t="s">
        <v>51</v>
      </c>
      <c r="H908">
        <v>136.73870075546986</v>
      </c>
      <c r="I908">
        <v>1336.4267347818229</v>
      </c>
      <c r="J908">
        <v>236.18011592903531</v>
      </c>
      <c r="K908">
        <v>236.18011592903531</v>
      </c>
    </row>
    <row r="909" spans="1:11" x14ac:dyDescent="0.25">
      <c r="A909" t="s">
        <v>152</v>
      </c>
      <c r="B909" t="s">
        <v>42</v>
      </c>
      <c r="C909" t="s">
        <v>77</v>
      </c>
      <c r="D909">
        <v>2030</v>
      </c>
      <c r="E909" t="s">
        <v>120</v>
      </c>
      <c r="F909" t="s">
        <v>108</v>
      </c>
      <c r="G909" t="s">
        <v>77</v>
      </c>
      <c r="H909">
        <v>4.1333042306348711</v>
      </c>
      <c r="I909">
        <v>141.35900468771257</v>
      </c>
      <c r="J909">
        <v>0</v>
      </c>
      <c r="K909">
        <v>141.35900468771257</v>
      </c>
    </row>
    <row r="910" spans="1:11" x14ac:dyDescent="0.25">
      <c r="A910" t="s">
        <v>152</v>
      </c>
      <c r="B910" t="s">
        <v>42</v>
      </c>
      <c r="C910" t="s">
        <v>64</v>
      </c>
      <c r="D910">
        <v>2030</v>
      </c>
      <c r="E910" t="s">
        <v>120</v>
      </c>
      <c r="F910" t="s">
        <v>108</v>
      </c>
      <c r="G910" t="s">
        <v>64</v>
      </c>
      <c r="H910">
        <v>8.7724153247963965</v>
      </c>
      <c r="I910">
        <v>146.34956297953013</v>
      </c>
      <c r="J910">
        <v>0</v>
      </c>
      <c r="K910">
        <v>146.34956297953013</v>
      </c>
    </row>
    <row r="911" spans="1:11" x14ac:dyDescent="0.25">
      <c r="A911" t="s">
        <v>152</v>
      </c>
      <c r="B911" t="s">
        <v>42</v>
      </c>
      <c r="C911" t="s">
        <v>119</v>
      </c>
      <c r="D911">
        <v>2030</v>
      </c>
      <c r="E911" t="s">
        <v>120</v>
      </c>
      <c r="F911" t="s">
        <v>108</v>
      </c>
      <c r="G911" t="s">
        <v>52</v>
      </c>
      <c r="H911">
        <v>254.23738887912378</v>
      </c>
      <c r="I911">
        <v>4207.1203111717405</v>
      </c>
      <c r="J911">
        <v>0</v>
      </c>
      <c r="K911">
        <v>4207.1203111717405</v>
      </c>
    </row>
    <row r="912" spans="1:11" x14ac:dyDescent="0.25">
      <c r="A912" t="s">
        <v>152</v>
      </c>
      <c r="B912" t="s">
        <v>42</v>
      </c>
      <c r="C912" t="s">
        <v>28</v>
      </c>
      <c r="D912">
        <v>2050</v>
      </c>
      <c r="E912" t="s">
        <v>120</v>
      </c>
      <c r="F912" t="s">
        <v>108</v>
      </c>
      <c r="G912" t="s">
        <v>28</v>
      </c>
      <c r="H912">
        <v>0</v>
      </c>
      <c r="I912">
        <v>0</v>
      </c>
      <c r="J912">
        <v>0</v>
      </c>
      <c r="K912">
        <v>0</v>
      </c>
    </row>
    <row r="913" spans="1:11" x14ac:dyDescent="0.25">
      <c r="A913" t="s">
        <v>152</v>
      </c>
      <c r="B913" t="s">
        <v>42</v>
      </c>
      <c r="C913" t="s">
        <v>33</v>
      </c>
      <c r="D913">
        <v>2050</v>
      </c>
      <c r="E913" t="s">
        <v>120</v>
      </c>
      <c r="F913" t="s">
        <v>108</v>
      </c>
      <c r="G913" t="s">
        <v>33</v>
      </c>
      <c r="H913">
        <v>0</v>
      </c>
      <c r="I913">
        <v>0</v>
      </c>
      <c r="J913">
        <v>0</v>
      </c>
      <c r="K913">
        <v>0</v>
      </c>
    </row>
    <row r="914" spans="1:11" x14ac:dyDescent="0.25">
      <c r="A914" t="s">
        <v>152</v>
      </c>
      <c r="B914" t="s">
        <v>42</v>
      </c>
      <c r="C914" t="s">
        <v>71</v>
      </c>
      <c r="D914">
        <v>2050</v>
      </c>
      <c r="E914" t="s">
        <v>120</v>
      </c>
      <c r="F914" t="s">
        <v>108</v>
      </c>
      <c r="G914" t="s">
        <v>71</v>
      </c>
      <c r="H914">
        <v>0</v>
      </c>
      <c r="I914">
        <v>0</v>
      </c>
      <c r="J914">
        <v>0</v>
      </c>
      <c r="K914">
        <v>0</v>
      </c>
    </row>
    <row r="915" spans="1:11" x14ac:dyDescent="0.25">
      <c r="A915" t="s">
        <v>152</v>
      </c>
      <c r="B915" t="s">
        <v>42</v>
      </c>
      <c r="C915" t="s">
        <v>52</v>
      </c>
      <c r="D915">
        <v>2050</v>
      </c>
      <c r="E915" t="s">
        <v>120</v>
      </c>
      <c r="F915" t="s">
        <v>108</v>
      </c>
      <c r="G915" t="s">
        <v>52</v>
      </c>
      <c r="H915">
        <v>0</v>
      </c>
      <c r="I915">
        <v>0</v>
      </c>
      <c r="J915">
        <v>0</v>
      </c>
      <c r="K915">
        <v>0</v>
      </c>
    </row>
    <row r="916" spans="1:11" x14ac:dyDescent="0.25">
      <c r="A916" t="s">
        <v>152</v>
      </c>
      <c r="B916" t="s">
        <v>42</v>
      </c>
      <c r="C916" t="s">
        <v>29</v>
      </c>
      <c r="D916">
        <v>2050</v>
      </c>
      <c r="E916" t="s">
        <v>120</v>
      </c>
      <c r="F916" t="s">
        <v>108</v>
      </c>
      <c r="G916" t="s">
        <v>29</v>
      </c>
      <c r="H916">
        <v>0</v>
      </c>
      <c r="I916">
        <v>0</v>
      </c>
      <c r="J916">
        <v>0</v>
      </c>
      <c r="K916">
        <v>0</v>
      </c>
    </row>
    <row r="917" spans="1:11" x14ac:dyDescent="0.25">
      <c r="A917" t="s">
        <v>152</v>
      </c>
      <c r="B917" t="s">
        <v>42</v>
      </c>
      <c r="C917" t="s">
        <v>30</v>
      </c>
      <c r="D917">
        <v>2050</v>
      </c>
      <c r="E917" t="s">
        <v>120</v>
      </c>
      <c r="F917" t="s">
        <v>108</v>
      </c>
      <c r="G917" t="s">
        <v>30</v>
      </c>
      <c r="H917">
        <v>0</v>
      </c>
      <c r="I917">
        <v>0</v>
      </c>
      <c r="J917">
        <v>0</v>
      </c>
      <c r="K917">
        <v>0</v>
      </c>
    </row>
    <row r="918" spans="1:11" x14ac:dyDescent="0.25">
      <c r="A918" t="s">
        <v>152</v>
      </c>
      <c r="B918" t="s">
        <v>42</v>
      </c>
      <c r="C918" t="s">
        <v>54</v>
      </c>
      <c r="D918">
        <v>2050</v>
      </c>
      <c r="E918" t="s">
        <v>120</v>
      </c>
      <c r="F918" t="s">
        <v>108</v>
      </c>
      <c r="G918" t="s">
        <v>54</v>
      </c>
      <c r="H918">
        <v>0</v>
      </c>
      <c r="I918">
        <v>0</v>
      </c>
      <c r="J918">
        <v>0</v>
      </c>
      <c r="K918">
        <v>0</v>
      </c>
    </row>
    <row r="919" spans="1:11" x14ac:dyDescent="0.25">
      <c r="A919" t="s">
        <v>152</v>
      </c>
      <c r="B919" t="s">
        <v>42</v>
      </c>
      <c r="C919" t="s">
        <v>53</v>
      </c>
      <c r="D919">
        <v>2050</v>
      </c>
      <c r="E919" t="s">
        <v>120</v>
      </c>
      <c r="F919" t="s">
        <v>108</v>
      </c>
      <c r="G919" t="s">
        <v>53</v>
      </c>
      <c r="H919">
        <v>0</v>
      </c>
      <c r="I919">
        <v>0</v>
      </c>
      <c r="J919">
        <v>0</v>
      </c>
      <c r="K919">
        <v>0</v>
      </c>
    </row>
    <row r="920" spans="1:11" x14ac:dyDescent="0.25">
      <c r="A920" t="s">
        <v>152</v>
      </c>
      <c r="B920" t="s">
        <v>42</v>
      </c>
      <c r="C920" t="s">
        <v>40</v>
      </c>
      <c r="D920">
        <v>2050</v>
      </c>
      <c r="E920" t="s">
        <v>120</v>
      </c>
      <c r="F920" t="s">
        <v>108</v>
      </c>
      <c r="G920" t="s">
        <v>40</v>
      </c>
      <c r="H920">
        <v>0</v>
      </c>
      <c r="I920">
        <v>0</v>
      </c>
      <c r="J920">
        <v>0</v>
      </c>
      <c r="K920">
        <v>0</v>
      </c>
    </row>
    <row r="921" spans="1:11" x14ac:dyDescent="0.25">
      <c r="A921" t="s">
        <v>152</v>
      </c>
      <c r="B921" t="s">
        <v>42</v>
      </c>
      <c r="C921" t="s">
        <v>79</v>
      </c>
      <c r="D921">
        <v>2050</v>
      </c>
      <c r="E921" t="s">
        <v>120</v>
      </c>
      <c r="F921" t="s">
        <v>108</v>
      </c>
      <c r="G921" t="s">
        <v>79</v>
      </c>
      <c r="H921">
        <v>0</v>
      </c>
      <c r="I921">
        <v>0</v>
      </c>
      <c r="J921">
        <v>0</v>
      </c>
      <c r="K921">
        <v>0</v>
      </c>
    </row>
    <row r="922" spans="1:11" x14ac:dyDescent="0.25">
      <c r="A922" t="s">
        <v>152</v>
      </c>
      <c r="B922" t="s">
        <v>42</v>
      </c>
      <c r="C922" t="s">
        <v>74</v>
      </c>
      <c r="D922">
        <v>2050</v>
      </c>
      <c r="E922" t="s">
        <v>120</v>
      </c>
      <c r="F922" t="s">
        <v>108</v>
      </c>
      <c r="G922" t="s">
        <v>74</v>
      </c>
      <c r="H922">
        <v>0</v>
      </c>
      <c r="I922">
        <v>0</v>
      </c>
      <c r="J922">
        <v>0</v>
      </c>
      <c r="K922">
        <v>0</v>
      </c>
    </row>
    <row r="923" spans="1:11" x14ac:dyDescent="0.25">
      <c r="A923" t="s">
        <v>152</v>
      </c>
      <c r="B923" t="s">
        <v>42</v>
      </c>
      <c r="C923" t="s">
        <v>77</v>
      </c>
      <c r="D923">
        <v>2050</v>
      </c>
      <c r="E923" t="s">
        <v>120</v>
      </c>
      <c r="F923" t="s">
        <v>108</v>
      </c>
      <c r="G923" t="s">
        <v>77</v>
      </c>
      <c r="H923">
        <v>0</v>
      </c>
      <c r="I923">
        <v>0</v>
      </c>
      <c r="J923">
        <v>0</v>
      </c>
      <c r="K923">
        <v>0</v>
      </c>
    </row>
    <row r="924" spans="1:11" x14ac:dyDescent="0.25">
      <c r="A924" t="s">
        <v>152</v>
      </c>
      <c r="B924" t="s">
        <v>42</v>
      </c>
      <c r="C924" t="s">
        <v>64</v>
      </c>
      <c r="D924">
        <v>2050</v>
      </c>
      <c r="E924" t="s">
        <v>120</v>
      </c>
      <c r="F924" t="s">
        <v>108</v>
      </c>
      <c r="G924" t="s">
        <v>64</v>
      </c>
      <c r="H924">
        <v>0</v>
      </c>
      <c r="I924">
        <v>0</v>
      </c>
      <c r="J924">
        <v>0</v>
      </c>
      <c r="K924">
        <v>0</v>
      </c>
    </row>
    <row r="925" spans="1:11" x14ac:dyDescent="0.25">
      <c r="A925" t="s">
        <v>152</v>
      </c>
      <c r="B925" t="s">
        <v>42</v>
      </c>
      <c r="C925" t="s">
        <v>119</v>
      </c>
      <c r="D925">
        <v>2050</v>
      </c>
      <c r="E925" t="s">
        <v>120</v>
      </c>
      <c r="F925" t="s">
        <v>108</v>
      </c>
      <c r="G925" t="s">
        <v>52</v>
      </c>
      <c r="H925">
        <v>0</v>
      </c>
      <c r="I925">
        <v>0</v>
      </c>
      <c r="J925">
        <v>0</v>
      </c>
      <c r="K925">
        <v>0</v>
      </c>
    </row>
    <row r="926" spans="1:11" x14ac:dyDescent="0.25">
      <c r="A926" t="s">
        <v>152</v>
      </c>
      <c r="B926" t="s">
        <v>42</v>
      </c>
      <c r="C926" t="s">
        <v>28</v>
      </c>
      <c r="D926">
        <v>2019</v>
      </c>
      <c r="E926" t="s">
        <v>118</v>
      </c>
      <c r="F926" t="s">
        <v>109</v>
      </c>
      <c r="G926" t="s">
        <v>51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152</v>
      </c>
      <c r="B927" t="s">
        <v>42</v>
      </c>
      <c r="C927" t="s">
        <v>33</v>
      </c>
      <c r="D927">
        <v>2019</v>
      </c>
      <c r="E927" t="s">
        <v>118</v>
      </c>
      <c r="F927" t="s">
        <v>109</v>
      </c>
      <c r="G927" t="s">
        <v>51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152</v>
      </c>
      <c r="B928" t="s">
        <v>42</v>
      </c>
      <c r="C928" t="s">
        <v>71</v>
      </c>
      <c r="D928">
        <v>2019</v>
      </c>
      <c r="E928" t="s">
        <v>118</v>
      </c>
      <c r="F928" t="s">
        <v>109</v>
      </c>
      <c r="G928" t="s">
        <v>51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152</v>
      </c>
      <c r="B929" t="s">
        <v>42</v>
      </c>
      <c r="C929" t="s">
        <v>52</v>
      </c>
      <c r="D929">
        <v>2019</v>
      </c>
      <c r="E929" t="s">
        <v>118</v>
      </c>
      <c r="F929" t="s">
        <v>109</v>
      </c>
      <c r="G929" t="s">
        <v>52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152</v>
      </c>
      <c r="B930" t="s">
        <v>42</v>
      </c>
      <c r="C930" t="s">
        <v>29</v>
      </c>
      <c r="D930">
        <v>2019</v>
      </c>
      <c r="E930" t="s">
        <v>118</v>
      </c>
      <c r="F930" t="s">
        <v>109</v>
      </c>
      <c r="G930" t="s">
        <v>29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152</v>
      </c>
      <c r="B931" t="s">
        <v>42</v>
      </c>
      <c r="C931" t="s">
        <v>30</v>
      </c>
      <c r="D931">
        <v>2019</v>
      </c>
      <c r="E931" t="s">
        <v>118</v>
      </c>
      <c r="F931" t="s">
        <v>109</v>
      </c>
      <c r="G931" t="s">
        <v>30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152</v>
      </c>
      <c r="B932" t="s">
        <v>42</v>
      </c>
      <c r="C932" t="s">
        <v>54</v>
      </c>
      <c r="D932">
        <v>2019</v>
      </c>
      <c r="E932" t="s">
        <v>118</v>
      </c>
      <c r="F932" t="s">
        <v>109</v>
      </c>
      <c r="G932" t="s">
        <v>54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152</v>
      </c>
      <c r="B933" t="s">
        <v>42</v>
      </c>
      <c r="C933" t="s">
        <v>53</v>
      </c>
      <c r="D933">
        <v>2019</v>
      </c>
      <c r="E933" t="s">
        <v>118</v>
      </c>
      <c r="F933" t="s">
        <v>109</v>
      </c>
      <c r="G933" t="s">
        <v>53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152</v>
      </c>
      <c r="B934" t="s">
        <v>42</v>
      </c>
      <c r="C934" t="s">
        <v>40</v>
      </c>
      <c r="D934">
        <v>2019</v>
      </c>
      <c r="E934" t="s">
        <v>118</v>
      </c>
      <c r="F934" t="s">
        <v>109</v>
      </c>
      <c r="G934" t="s">
        <v>40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152</v>
      </c>
      <c r="B935" t="s">
        <v>42</v>
      </c>
      <c r="C935" t="s">
        <v>79</v>
      </c>
      <c r="D935">
        <v>2019</v>
      </c>
      <c r="E935" t="s">
        <v>118</v>
      </c>
      <c r="F935" t="s">
        <v>109</v>
      </c>
      <c r="G935" t="s">
        <v>79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152</v>
      </c>
      <c r="B936" t="s">
        <v>42</v>
      </c>
      <c r="C936" t="s">
        <v>74</v>
      </c>
      <c r="D936">
        <v>2019</v>
      </c>
      <c r="E936" t="s">
        <v>118</v>
      </c>
      <c r="F936" t="s">
        <v>109</v>
      </c>
      <c r="G936" t="s">
        <v>51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152</v>
      </c>
      <c r="B937" t="s">
        <v>42</v>
      </c>
      <c r="C937" t="s">
        <v>77</v>
      </c>
      <c r="D937">
        <v>2019</v>
      </c>
      <c r="E937" t="s">
        <v>118</v>
      </c>
      <c r="F937" t="s">
        <v>109</v>
      </c>
      <c r="G937" t="s">
        <v>77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152</v>
      </c>
      <c r="B938" t="s">
        <v>42</v>
      </c>
      <c r="C938" t="s">
        <v>64</v>
      </c>
      <c r="D938">
        <v>2019</v>
      </c>
      <c r="E938" t="s">
        <v>118</v>
      </c>
      <c r="F938" t="s">
        <v>109</v>
      </c>
      <c r="G938" t="s">
        <v>64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152</v>
      </c>
      <c r="B939" t="s">
        <v>42</v>
      </c>
      <c r="C939" t="s">
        <v>119</v>
      </c>
      <c r="D939">
        <v>2019</v>
      </c>
      <c r="E939" t="s">
        <v>118</v>
      </c>
      <c r="F939" t="s">
        <v>109</v>
      </c>
      <c r="G939" t="s">
        <v>52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152</v>
      </c>
      <c r="B940" t="s">
        <v>42</v>
      </c>
      <c r="C940" t="s">
        <v>28</v>
      </c>
      <c r="D940">
        <v>2030</v>
      </c>
      <c r="E940" t="s">
        <v>118</v>
      </c>
      <c r="F940" t="s">
        <v>109</v>
      </c>
      <c r="G940" t="s">
        <v>28</v>
      </c>
      <c r="H940">
        <v>0</v>
      </c>
      <c r="I940">
        <v>0</v>
      </c>
      <c r="J940">
        <v>0</v>
      </c>
      <c r="K940">
        <v>0</v>
      </c>
    </row>
    <row r="941" spans="1:11" x14ac:dyDescent="0.25">
      <c r="A941" t="s">
        <v>152</v>
      </c>
      <c r="B941" t="s">
        <v>42</v>
      </c>
      <c r="C941" t="s">
        <v>33</v>
      </c>
      <c r="D941">
        <v>2030</v>
      </c>
      <c r="E941" t="s">
        <v>118</v>
      </c>
      <c r="F941" t="s">
        <v>109</v>
      </c>
      <c r="G941" t="s">
        <v>33</v>
      </c>
      <c r="H941">
        <v>0</v>
      </c>
      <c r="I941">
        <v>0</v>
      </c>
      <c r="J941">
        <v>0</v>
      </c>
      <c r="K941">
        <v>0</v>
      </c>
    </row>
    <row r="942" spans="1:11" x14ac:dyDescent="0.25">
      <c r="A942" t="s">
        <v>152</v>
      </c>
      <c r="B942" t="s">
        <v>42</v>
      </c>
      <c r="C942" t="s">
        <v>71</v>
      </c>
      <c r="D942">
        <v>2030</v>
      </c>
      <c r="E942" t="s">
        <v>118</v>
      </c>
      <c r="F942" t="s">
        <v>109</v>
      </c>
      <c r="G942" t="s">
        <v>71</v>
      </c>
      <c r="H942">
        <v>0</v>
      </c>
      <c r="I942">
        <v>0</v>
      </c>
      <c r="J942">
        <v>0</v>
      </c>
      <c r="K942">
        <v>0</v>
      </c>
    </row>
    <row r="943" spans="1:11" x14ac:dyDescent="0.25">
      <c r="A943" t="s">
        <v>152</v>
      </c>
      <c r="B943" t="s">
        <v>42</v>
      </c>
      <c r="C943" t="s">
        <v>52</v>
      </c>
      <c r="D943">
        <v>2030</v>
      </c>
      <c r="E943" t="s">
        <v>118</v>
      </c>
      <c r="F943" t="s">
        <v>109</v>
      </c>
      <c r="G943" t="s">
        <v>52</v>
      </c>
      <c r="H943">
        <v>0</v>
      </c>
      <c r="I943">
        <v>0</v>
      </c>
      <c r="J943">
        <v>0</v>
      </c>
      <c r="K943">
        <v>0</v>
      </c>
    </row>
    <row r="944" spans="1:11" x14ac:dyDescent="0.25">
      <c r="A944" t="s">
        <v>152</v>
      </c>
      <c r="B944" t="s">
        <v>42</v>
      </c>
      <c r="C944" t="s">
        <v>29</v>
      </c>
      <c r="D944">
        <v>2030</v>
      </c>
      <c r="E944" t="s">
        <v>118</v>
      </c>
      <c r="F944" t="s">
        <v>109</v>
      </c>
      <c r="G944" t="s">
        <v>29</v>
      </c>
      <c r="H944">
        <v>0</v>
      </c>
      <c r="I944">
        <v>0</v>
      </c>
      <c r="J944">
        <v>0</v>
      </c>
      <c r="K944">
        <v>0</v>
      </c>
    </row>
    <row r="945" spans="1:11" x14ac:dyDescent="0.25">
      <c r="A945" t="s">
        <v>152</v>
      </c>
      <c r="B945" t="s">
        <v>42</v>
      </c>
      <c r="C945" t="s">
        <v>30</v>
      </c>
      <c r="D945">
        <v>2030</v>
      </c>
      <c r="E945" t="s">
        <v>118</v>
      </c>
      <c r="F945" t="s">
        <v>109</v>
      </c>
      <c r="G945" t="s">
        <v>30</v>
      </c>
      <c r="H945">
        <v>0</v>
      </c>
      <c r="I945">
        <v>0</v>
      </c>
      <c r="J945">
        <v>0</v>
      </c>
      <c r="K945">
        <v>0</v>
      </c>
    </row>
    <row r="946" spans="1:11" x14ac:dyDescent="0.25">
      <c r="A946" t="s">
        <v>152</v>
      </c>
      <c r="B946" t="s">
        <v>42</v>
      </c>
      <c r="C946" t="s">
        <v>54</v>
      </c>
      <c r="D946">
        <v>2030</v>
      </c>
      <c r="E946" t="s">
        <v>118</v>
      </c>
      <c r="F946" t="s">
        <v>109</v>
      </c>
      <c r="G946" t="s">
        <v>54</v>
      </c>
      <c r="H946">
        <v>0</v>
      </c>
      <c r="I946">
        <v>0</v>
      </c>
      <c r="J946">
        <v>0</v>
      </c>
      <c r="K946">
        <v>0</v>
      </c>
    </row>
    <row r="947" spans="1:11" x14ac:dyDescent="0.25">
      <c r="A947" t="s">
        <v>152</v>
      </c>
      <c r="B947" t="s">
        <v>42</v>
      </c>
      <c r="C947" t="s">
        <v>53</v>
      </c>
      <c r="D947">
        <v>2030</v>
      </c>
      <c r="E947" t="s">
        <v>118</v>
      </c>
      <c r="F947" t="s">
        <v>109</v>
      </c>
      <c r="G947" t="s">
        <v>53</v>
      </c>
      <c r="H947">
        <v>0</v>
      </c>
      <c r="I947">
        <v>0</v>
      </c>
      <c r="J947">
        <v>0</v>
      </c>
      <c r="K947">
        <v>0</v>
      </c>
    </row>
    <row r="948" spans="1:11" x14ac:dyDescent="0.25">
      <c r="A948" t="s">
        <v>152</v>
      </c>
      <c r="B948" t="s">
        <v>42</v>
      </c>
      <c r="C948" t="s">
        <v>40</v>
      </c>
      <c r="D948">
        <v>2030</v>
      </c>
      <c r="E948" t="s">
        <v>118</v>
      </c>
      <c r="F948" t="s">
        <v>109</v>
      </c>
      <c r="G948" t="s">
        <v>40</v>
      </c>
      <c r="H948">
        <v>0</v>
      </c>
      <c r="I948">
        <v>0</v>
      </c>
      <c r="J948">
        <v>0</v>
      </c>
      <c r="K948">
        <v>0</v>
      </c>
    </row>
    <row r="949" spans="1:11" x14ac:dyDescent="0.25">
      <c r="A949" t="s">
        <v>152</v>
      </c>
      <c r="B949" t="s">
        <v>42</v>
      </c>
      <c r="C949" t="s">
        <v>79</v>
      </c>
      <c r="D949">
        <v>2030</v>
      </c>
      <c r="E949" t="s">
        <v>118</v>
      </c>
      <c r="F949" t="s">
        <v>109</v>
      </c>
      <c r="G949" t="s">
        <v>79</v>
      </c>
      <c r="H949">
        <v>0</v>
      </c>
      <c r="I949">
        <v>0</v>
      </c>
      <c r="J949">
        <v>0</v>
      </c>
      <c r="K949">
        <v>0</v>
      </c>
    </row>
    <row r="950" spans="1:11" x14ac:dyDescent="0.25">
      <c r="A950" t="s">
        <v>152</v>
      </c>
      <c r="B950" t="s">
        <v>42</v>
      </c>
      <c r="C950" t="s">
        <v>74</v>
      </c>
      <c r="D950">
        <v>2030</v>
      </c>
      <c r="E950" t="s">
        <v>118</v>
      </c>
      <c r="F950" t="s">
        <v>109</v>
      </c>
      <c r="G950" t="s">
        <v>74</v>
      </c>
      <c r="H950">
        <v>0</v>
      </c>
      <c r="I950">
        <v>0</v>
      </c>
      <c r="J950">
        <v>0</v>
      </c>
      <c r="K950">
        <v>0</v>
      </c>
    </row>
    <row r="951" spans="1:11" x14ac:dyDescent="0.25">
      <c r="A951" t="s">
        <v>152</v>
      </c>
      <c r="B951" t="s">
        <v>42</v>
      </c>
      <c r="C951" t="s">
        <v>77</v>
      </c>
      <c r="D951">
        <v>2030</v>
      </c>
      <c r="E951" t="s">
        <v>118</v>
      </c>
      <c r="F951" t="s">
        <v>109</v>
      </c>
      <c r="G951" t="s">
        <v>77</v>
      </c>
      <c r="H951">
        <v>0</v>
      </c>
      <c r="I951">
        <v>0</v>
      </c>
      <c r="J951">
        <v>0</v>
      </c>
      <c r="K951">
        <v>0</v>
      </c>
    </row>
    <row r="952" spans="1:11" x14ac:dyDescent="0.25">
      <c r="A952" t="s">
        <v>152</v>
      </c>
      <c r="B952" t="s">
        <v>42</v>
      </c>
      <c r="C952" t="s">
        <v>64</v>
      </c>
      <c r="D952">
        <v>2030</v>
      </c>
      <c r="E952" t="s">
        <v>118</v>
      </c>
      <c r="F952" t="s">
        <v>109</v>
      </c>
      <c r="G952" t="s">
        <v>64</v>
      </c>
      <c r="H952">
        <v>0</v>
      </c>
      <c r="I952">
        <v>0</v>
      </c>
      <c r="J952">
        <v>0</v>
      </c>
      <c r="K952">
        <v>0</v>
      </c>
    </row>
    <row r="953" spans="1:11" x14ac:dyDescent="0.25">
      <c r="A953" t="s">
        <v>152</v>
      </c>
      <c r="B953" t="s">
        <v>42</v>
      </c>
      <c r="C953" t="s">
        <v>119</v>
      </c>
      <c r="D953">
        <v>2030</v>
      </c>
      <c r="E953" t="s">
        <v>118</v>
      </c>
      <c r="F953" t="s">
        <v>109</v>
      </c>
      <c r="G953" t="s">
        <v>52</v>
      </c>
      <c r="H953">
        <v>0</v>
      </c>
      <c r="I953">
        <v>0</v>
      </c>
      <c r="J953">
        <v>0</v>
      </c>
      <c r="K953">
        <v>0</v>
      </c>
    </row>
    <row r="954" spans="1:11" x14ac:dyDescent="0.25">
      <c r="A954" t="s">
        <v>152</v>
      </c>
      <c r="B954" t="s">
        <v>42</v>
      </c>
      <c r="C954" t="s">
        <v>28</v>
      </c>
      <c r="D954">
        <v>2050</v>
      </c>
      <c r="E954" t="s">
        <v>118</v>
      </c>
      <c r="F954" t="s">
        <v>109</v>
      </c>
      <c r="G954" t="s">
        <v>28</v>
      </c>
      <c r="H954">
        <v>0</v>
      </c>
      <c r="I954">
        <v>0</v>
      </c>
      <c r="J954">
        <v>0</v>
      </c>
      <c r="K954">
        <v>0</v>
      </c>
    </row>
    <row r="955" spans="1:11" x14ac:dyDescent="0.25">
      <c r="A955" t="s">
        <v>152</v>
      </c>
      <c r="B955" t="s">
        <v>42</v>
      </c>
      <c r="C955" t="s">
        <v>33</v>
      </c>
      <c r="D955">
        <v>2050</v>
      </c>
      <c r="E955" t="s">
        <v>118</v>
      </c>
      <c r="F955" t="s">
        <v>109</v>
      </c>
      <c r="G955" t="s">
        <v>33</v>
      </c>
      <c r="H955">
        <v>0</v>
      </c>
      <c r="I955">
        <v>0</v>
      </c>
      <c r="J955">
        <v>0</v>
      </c>
      <c r="K955">
        <v>0</v>
      </c>
    </row>
    <row r="956" spans="1:11" x14ac:dyDescent="0.25">
      <c r="A956" t="s">
        <v>152</v>
      </c>
      <c r="B956" t="s">
        <v>42</v>
      </c>
      <c r="C956" t="s">
        <v>71</v>
      </c>
      <c r="D956">
        <v>2050</v>
      </c>
      <c r="E956" t="s">
        <v>118</v>
      </c>
      <c r="F956" t="s">
        <v>109</v>
      </c>
      <c r="G956" t="s">
        <v>71</v>
      </c>
      <c r="H956">
        <v>0</v>
      </c>
      <c r="I956">
        <v>0</v>
      </c>
      <c r="J956">
        <v>0</v>
      </c>
      <c r="K956">
        <v>0</v>
      </c>
    </row>
    <row r="957" spans="1:11" x14ac:dyDescent="0.25">
      <c r="A957" t="s">
        <v>152</v>
      </c>
      <c r="B957" t="s">
        <v>42</v>
      </c>
      <c r="C957" t="s">
        <v>52</v>
      </c>
      <c r="D957">
        <v>2050</v>
      </c>
      <c r="E957" t="s">
        <v>118</v>
      </c>
      <c r="F957" t="s">
        <v>109</v>
      </c>
      <c r="G957" t="s">
        <v>52</v>
      </c>
      <c r="H957">
        <v>0</v>
      </c>
      <c r="I957">
        <v>0</v>
      </c>
      <c r="J957">
        <v>0</v>
      </c>
      <c r="K957">
        <v>0</v>
      </c>
    </row>
    <row r="958" spans="1:11" x14ac:dyDescent="0.25">
      <c r="A958" t="s">
        <v>152</v>
      </c>
      <c r="B958" t="s">
        <v>42</v>
      </c>
      <c r="C958" t="s">
        <v>29</v>
      </c>
      <c r="D958">
        <v>2050</v>
      </c>
      <c r="E958" t="s">
        <v>118</v>
      </c>
      <c r="F958" t="s">
        <v>109</v>
      </c>
      <c r="G958" t="s">
        <v>29</v>
      </c>
      <c r="H958">
        <v>0</v>
      </c>
      <c r="I958">
        <v>0</v>
      </c>
      <c r="J958">
        <v>0</v>
      </c>
      <c r="K958">
        <v>0</v>
      </c>
    </row>
    <row r="959" spans="1:11" x14ac:dyDescent="0.25">
      <c r="A959" t="s">
        <v>152</v>
      </c>
      <c r="B959" t="s">
        <v>42</v>
      </c>
      <c r="C959" t="s">
        <v>30</v>
      </c>
      <c r="D959">
        <v>2050</v>
      </c>
      <c r="E959" t="s">
        <v>118</v>
      </c>
      <c r="F959" t="s">
        <v>109</v>
      </c>
      <c r="G959" t="s">
        <v>30</v>
      </c>
      <c r="H959">
        <v>0</v>
      </c>
      <c r="I959">
        <v>0</v>
      </c>
      <c r="J959">
        <v>0</v>
      </c>
      <c r="K959">
        <v>0</v>
      </c>
    </row>
    <row r="960" spans="1:11" x14ac:dyDescent="0.25">
      <c r="A960" t="s">
        <v>152</v>
      </c>
      <c r="B960" t="s">
        <v>42</v>
      </c>
      <c r="C960" t="s">
        <v>54</v>
      </c>
      <c r="D960">
        <v>2050</v>
      </c>
      <c r="E960" t="s">
        <v>118</v>
      </c>
      <c r="F960" t="s">
        <v>109</v>
      </c>
      <c r="G960" t="s">
        <v>54</v>
      </c>
      <c r="H960">
        <v>0</v>
      </c>
      <c r="I960">
        <v>0</v>
      </c>
      <c r="J960">
        <v>0</v>
      </c>
      <c r="K960">
        <v>0</v>
      </c>
    </row>
    <row r="961" spans="1:11" x14ac:dyDescent="0.25">
      <c r="A961" t="s">
        <v>152</v>
      </c>
      <c r="B961" t="s">
        <v>42</v>
      </c>
      <c r="C961" t="s">
        <v>53</v>
      </c>
      <c r="D961">
        <v>2050</v>
      </c>
      <c r="E961" t="s">
        <v>118</v>
      </c>
      <c r="F961" t="s">
        <v>109</v>
      </c>
      <c r="G961" t="s">
        <v>53</v>
      </c>
      <c r="H961">
        <v>0</v>
      </c>
      <c r="I961">
        <v>0</v>
      </c>
      <c r="J961">
        <v>0</v>
      </c>
      <c r="K961">
        <v>0</v>
      </c>
    </row>
    <row r="962" spans="1:11" x14ac:dyDescent="0.25">
      <c r="A962" t="s">
        <v>152</v>
      </c>
      <c r="B962" t="s">
        <v>42</v>
      </c>
      <c r="C962" t="s">
        <v>40</v>
      </c>
      <c r="D962">
        <v>2050</v>
      </c>
      <c r="E962" t="s">
        <v>118</v>
      </c>
      <c r="F962" t="s">
        <v>109</v>
      </c>
      <c r="G962" t="s">
        <v>40</v>
      </c>
      <c r="H962">
        <v>0</v>
      </c>
      <c r="I962">
        <v>0</v>
      </c>
      <c r="J962">
        <v>0</v>
      </c>
      <c r="K962">
        <v>0</v>
      </c>
    </row>
    <row r="963" spans="1:11" x14ac:dyDescent="0.25">
      <c r="A963" t="s">
        <v>152</v>
      </c>
      <c r="B963" t="s">
        <v>42</v>
      </c>
      <c r="C963" t="s">
        <v>79</v>
      </c>
      <c r="D963">
        <v>2050</v>
      </c>
      <c r="E963" t="s">
        <v>118</v>
      </c>
      <c r="F963" t="s">
        <v>109</v>
      </c>
      <c r="G963" t="s">
        <v>79</v>
      </c>
      <c r="H963">
        <v>0</v>
      </c>
      <c r="I963">
        <v>0</v>
      </c>
      <c r="J963">
        <v>0</v>
      </c>
      <c r="K963">
        <v>0</v>
      </c>
    </row>
    <row r="964" spans="1:11" x14ac:dyDescent="0.25">
      <c r="A964" t="s">
        <v>152</v>
      </c>
      <c r="B964" t="s">
        <v>42</v>
      </c>
      <c r="C964" t="s">
        <v>74</v>
      </c>
      <c r="D964">
        <v>2050</v>
      </c>
      <c r="E964" t="s">
        <v>118</v>
      </c>
      <c r="F964" t="s">
        <v>109</v>
      </c>
      <c r="G964" t="s">
        <v>74</v>
      </c>
      <c r="H964">
        <v>0</v>
      </c>
      <c r="I964">
        <v>0</v>
      </c>
      <c r="J964">
        <v>0</v>
      </c>
      <c r="K964">
        <v>0</v>
      </c>
    </row>
    <row r="965" spans="1:11" x14ac:dyDescent="0.25">
      <c r="A965" t="s">
        <v>152</v>
      </c>
      <c r="B965" t="s">
        <v>42</v>
      </c>
      <c r="C965" t="s">
        <v>77</v>
      </c>
      <c r="D965">
        <v>2050</v>
      </c>
      <c r="E965" t="s">
        <v>118</v>
      </c>
      <c r="F965" t="s">
        <v>109</v>
      </c>
      <c r="G965" t="s">
        <v>77</v>
      </c>
      <c r="H965">
        <v>0</v>
      </c>
      <c r="I965">
        <v>0</v>
      </c>
      <c r="J965">
        <v>0</v>
      </c>
      <c r="K965">
        <v>0</v>
      </c>
    </row>
    <row r="966" spans="1:11" x14ac:dyDescent="0.25">
      <c r="A966" t="s">
        <v>152</v>
      </c>
      <c r="B966" t="s">
        <v>42</v>
      </c>
      <c r="C966" t="s">
        <v>64</v>
      </c>
      <c r="D966">
        <v>2050</v>
      </c>
      <c r="E966" t="s">
        <v>118</v>
      </c>
      <c r="F966" t="s">
        <v>109</v>
      </c>
      <c r="G966" t="s">
        <v>64</v>
      </c>
      <c r="H966">
        <v>0</v>
      </c>
      <c r="I966">
        <v>0</v>
      </c>
      <c r="J966">
        <v>0</v>
      </c>
      <c r="K966">
        <v>0</v>
      </c>
    </row>
    <row r="967" spans="1:11" x14ac:dyDescent="0.25">
      <c r="A967" t="s">
        <v>152</v>
      </c>
      <c r="B967" t="s">
        <v>42</v>
      </c>
      <c r="C967" t="s">
        <v>119</v>
      </c>
      <c r="D967">
        <v>2050</v>
      </c>
      <c r="E967" t="s">
        <v>118</v>
      </c>
      <c r="F967" t="s">
        <v>109</v>
      </c>
      <c r="G967" t="s">
        <v>52</v>
      </c>
      <c r="H967">
        <v>0</v>
      </c>
      <c r="I967">
        <v>0</v>
      </c>
      <c r="J967">
        <v>0</v>
      </c>
      <c r="K967">
        <v>0</v>
      </c>
    </row>
    <row r="968" spans="1:11" x14ac:dyDescent="0.25">
      <c r="A968" t="s">
        <v>152</v>
      </c>
      <c r="B968" t="s">
        <v>42</v>
      </c>
      <c r="C968" t="s">
        <v>28</v>
      </c>
      <c r="D968">
        <v>2019</v>
      </c>
      <c r="E968" t="s">
        <v>120</v>
      </c>
      <c r="F968" t="s">
        <v>109</v>
      </c>
      <c r="G968" t="s">
        <v>51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152</v>
      </c>
      <c r="B969" t="s">
        <v>42</v>
      </c>
      <c r="C969" t="s">
        <v>33</v>
      </c>
      <c r="D969">
        <v>2019</v>
      </c>
      <c r="E969" t="s">
        <v>120</v>
      </c>
      <c r="F969" t="s">
        <v>109</v>
      </c>
      <c r="G969" t="s">
        <v>51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152</v>
      </c>
      <c r="B970" t="s">
        <v>42</v>
      </c>
      <c r="C970" t="s">
        <v>71</v>
      </c>
      <c r="D970">
        <v>2019</v>
      </c>
      <c r="E970" t="s">
        <v>120</v>
      </c>
      <c r="F970" t="s">
        <v>109</v>
      </c>
      <c r="G970" t="s">
        <v>51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152</v>
      </c>
      <c r="B971" t="s">
        <v>42</v>
      </c>
      <c r="C971" t="s">
        <v>52</v>
      </c>
      <c r="D971">
        <v>2019</v>
      </c>
      <c r="E971" t="s">
        <v>120</v>
      </c>
      <c r="F971" t="s">
        <v>109</v>
      </c>
      <c r="G971" t="s">
        <v>52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152</v>
      </c>
      <c r="B972" t="s">
        <v>42</v>
      </c>
      <c r="C972" t="s">
        <v>29</v>
      </c>
      <c r="D972">
        <v>2019</v>
      </c>
      <c r="E972" t="s">
        <v>120</v>
      </c>
      <c r="F972" t="s">
        <v>109</v>
      </c>
      <c r="G972" t="s">
        <v>29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152</v>
      </c>
      <c r="B973" t="s">
        <v>42</v>
      </c>
      <c r="C973" t="s">
        <v>30</v>
      </c>
      <c r="D973">
        <v>2019</v>
      </c>
      <c r="E973" t="s">
        <v>120</v>
      </c>
      <c r="F973" t="s">
        <v>109</v>
      </c>
      <c r="G973" t="s">
        <v>30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152</v>
      </c>
      <c r="B974" t="s">
        <v>42</v>
      </c>
      <c r="C974" t="s">
        <v>54</v>
      </c>
      <c r="D974">
        <v>2019</v>
      </c>
      <c r="E974" t="s">
        <v>120</v>
      </c>
      <c r="F974" t="s">
        <v>109</v>
      </c>
      <c r="G974" t="s">
        <v>54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152</v>
      </c>
      <c r="B975" t="s">
        <v>42</v>
      </c>
      <c r="C975" t="s">
        <v>53</v>
      </c>
      <c r="D975">
        <v>2019</v>
      </c>
      <c r="E975" t="s">
        <v>120</v>
      </c>
      <c r="F975" t="s">
        <v>109</v>
      </c>
      <c r="G975" t="s">
        <v>53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152</v>
      </c>
      <c r="B976" t="s">
        <v>42</v>
      </c>
      <c r="C976" t="s">
        <v>40</v>
      </c>
      <c r="D976">
        <v>2019</v>
      </c>
      <c r="E976" t="s">
        <v>120</v>
      </c>
      <c r="F976" t="s">
        <v>109</v>
      </c>
      <c r="G976" t="s">
        <v>40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152</v>
      </c>
      <c r="B977" t="s">
        <v>42</v>
      </c>
      <c r="C977" t="s">
        <v>79</v>
      </c>
      <c r="D977">
        <v>2019</v>
      </c>
      <c r="E977" t="s">
        <v>120</v>
      </c>
      <c r="F977" t="s">
        <v>109</v>
      </c>
      <c r="G977" t="s">
        <v>79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152</v>
      </c>
      <c r="B978" t="s">
        <v>42</v>
      </c>
      <c r="C978" t="s">
        <v>74</v>
      </c>
      <c r="D978">
        <v>2019</v>
      </c>
      <c r="E978" t="s">
        <v>120</v>
      </c>
      <c r="F978" t="s">
        <v>109</v>
      </c>
      <c r="G978" t="s">
        <v>51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152</v>
      </c>
      <c r="B979" t="s">
        <v>42</v>
      </c>
      <c r="C979" t="s">
        <v>77</v>
      </c>
      <c r="D979">
        <v>2019</v>
      </c>
      <c r="E979" t="s">
        <v>120</v>
      </c>
      <c r="F979" t="s">
        <v>109</v>
      </c>
      <c r="G979" t="s">
        <v>77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152</v>
      </c>
      <c r="B980" t="s">
        <v>42</v>
      </c>
      <c r="C980" t="s">
        <v>64</v>
      </c>
      <c r="D980">
        <v>2019</v>
      </c>
      <c r="E980" t="s">
        <v>120</v>
      </c>
      <c r="F980" t="s">
        <v>109</v>
      </c>
      <c r="G980" t="s">
        <v>64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152</v>
      </c>
      <c r="B981" t="s">
        <v>42</v>
      </c>
      <c r="C981" t="s">
        <v>119</v>
      </c>
      <c r="D981">
        <v>2019</v>
      </c>
      <c r="E981" t="s">
        <v>120</v>
      </c>
      <c r="F981" t="s">
        <v>109</v>
      </c>
      <c r="G981" t="s">
        <v>52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152</v>
      </c>
      <c r="B982" t="s">
        <v>42</v>
      </c>
      <c r="C982" t="s">
        <v>28</v>
      </c>
      <c r="D982">
        <v>2030</v>
      </c>
      <c r="E982" t="s">
        <v>120</v>
      </c>
      <c r="F982" t="s">
        <v>109</v>
      </c>
      <c r="G982" t="s">
        <v>28</v>
      </c>
      <c r="H982">
        <v>0</v>
      </c>
      <c r="I982">
        <v>0</v>
      </c>
      <c r="J982">
        <v>0</v>
      </c>
      <c r="K982">
        <v>0</v>
      </c>
    </row>
    <row r="983" spans="1:11" x14ac:dyDescent="0.25">
      <c r="A983" t="s">
        <v>152</v>
      </c>
      <c r="B983" t="s">
        <v>42</v>
      </c>
      <c r="C983" t="s">
        <v>33</v>
      </c>
      <c r="D983">
        <v>2030</v>
      </c>
      <c r="E983" t="s">
        <v>120</v>
      </c>
      <c r="F983" t="s">
        <v>109</v>
      </c>
      <c r="G983" t="s">
        <v>33</v>
      </c>
      <c r="H983">
        <v>0</v>
      </c>
      <c r="I983">
        <v>0</v>
      </c>
      <c r="J983">
        <v>0</v>
      </c>
      <c r="K983">
        <v>0</v>
      </c>
    </row>
    <row r="984" spans="1:11" x14ac:dyDescent="0.25">
      <c r="A984" t="s">
        <v>152</v>
      </c>
      <c r="B984" t="s">
        <v>42</v>
      </c>
      <c r="C984" t="s">
        <v>71</v>
      </c>
      <c r="D984">
        <v>2030</v>
      </c>
      <c r="E984" t="s">
        <v>120</v>
      </c>
      <c r="F984" t="s">
        <v>109</v>
      </c>
      <c r="G984" t="s">
        <v>71</v>
      </c>
      <c r="H984">
        <v>0</v>
      </c>
      <c r="I984">
        <v>0</v>
      </c>
      <c r="J984">
        <v>0</v>
      </c>
      <c r="K984">
        <v>0</v>
      </c>
    </row>
    <row r="985" spans="1:11" x14ac:dyDescent="0.25">
      <c r="A985" t="s">
        <v>152</v>
      </c>
      <c r="B985" t="s">
        <v>42</v>
      </c>
      <c r="C985" t="s">
        <v>52</v>
      </c>
      <c r="D985">
        <v>2030</v>
      </c>
      <c r="E985" t="s">
        <v>120</v>
      </c>
      <c r="F985" t="s">
        <v>109</v>
      </c>
      <c r="G985" t="s">
        <v>52</v>
      </c>
      <c r="H985">
        <v>0</v>
      </c>
      <c r="I985">
        <v>0</v>
      </c>
      <c r="J985">
        <v>0</v>
      </c>
      <c r="K985">
        <v>0</v>
      </c>
    </row>
    <row r="986" spans="1:11" x14ac:dyDescent="0.25">
      <c r="A986" t="s">
        <v>152</v>
      </c>
      <c r="B986" t="s">
        <v>42</v>
      </c>
      <c r="C986" t="s">
        <v>29</v>
      </c>
      <c r="D986">
        <v>2030</v>
      </c>
      <c r="E986" t="s">
        <v>120</v>
      </c>
      <c r="F986" t="s">
        <v>109</v>
      </c>
      <c r="G986" t="s">
        <v>29</v>
      </c>
      <c r="H986">
        <v>0</v>
      </c>
      <c r="I986">
        <v>0</v>
      </c>
      <c r="J986">
        <v>0</v>
      </c>
      <c r="K986">
        <v>0</v>
      </c>
    </row>
    <row r="987" spans="1:11" x14ac:dyDescent="0.25">
      <c r="A987" t="s">
        <v>152</v>
      </c>
      <c r="B987" t="s">
        <v>42</v>
      </c>
      <c r="C987" t="s">
        <v>30</v>
      </c>
      <c r="D987">
        <v>2030</v>
      </c>
      <c r="E987" t="s">
        <v>120</v>
      </c>
      <c r="F987" t="s">
        <v>109</v>
      </c>
      <c r="G987" t="s">
        <v>30</v>
      </c>
      <c r="H987">
        <v>0</v>
      </c>
      <c r="I987">
        <v>0</v>
      </c>
      <c r="J987">
        <v>0</v>
      </c>
      <c r="K987">
        <v>0</v>
      </c>
    </row>
    <row r="988" spans="1:11" x14ac:dyDescent="0.25">
      <c r="A988" t="s">
        <v>152</v>
      </c>
      <c r="B988" t="s">
        <v>42</v>
      </c>
      <c r="C988" t="s">
        <v>54</v>
      </c>
      <c r="D988">
        <v>2030</v>
      </c>
      <c r="E988" t="s">
        <v>120</v>
      </c>
      <c r="F988" t="s">
        <v>109</v>
      </c>
      <c r="G988" t="s">
        <v>54</v>
      </c>
      <c r="H988">
        <v>0</v>
      </c>
      <c r="I988">
        <v>0</v>
      </c>
      <c r="J988">
        <v>0</v>
      </c>
      <c r="K988">
        <v>0</v>
      </c>
    </row>
    <row r="989" spans="1:11" x14ac:dyDescent="0.25">
      <c r="A989" t="s">
        <v>152</v>
      </c>
      <c r="B989" t="s">
        <v>42</v>
      </c>
      <c r="C989" t="s">
        <v>53</v>
      </c>
      <c r="D989">
        <v>2030</v>
      </c>
      <c r="E989" t="s">
        <v>120</v>
      </c>
      <c r="F989" t="s">
        <v>109</v>
      </c>
      <c r="G989" t="s">
        <v>53</v>
      </c>
      <c r="H989">
        <v>0</v>
      </c>
      <c r="I989">
        <v>0</v>
      </c>
      <c r="J989">
        <v>0</v>
      </c>
      <c r="K989">
        <v>0</v>
      </c>
    </row>
    <row r="990" spans="1:11" x14ac:dyDescent="0.25">
      <c r="A990" t="s">
        <v>152</v>
      </c>
      <c r="B990" t="s">
        <v>42</v>
      </c>
      <c r="C990" t="s">
        <v>40</v>
      </c>
      <c r="D990">
        <v>2030</v>
      </c>
      <c r="E990" t="s">
        <v>120</v>
      </c>
      <c r="F990" t="s">
        <v>109</v>
      </c>
      <c r="G990" t="s">
        <v>40</v>
      </c>
      <c r="H990">
        <v>0</v>
      </c>
      <c r="I990">
        <v>0</v>
      </c>
      <c r="J990">
        <v>0</v>
      </c>
      <c r="K990">
        <v>0</v>
      </c>
    </row>
    <row r="991" spans="1:11" x14ac:dyDescent="0.25">
      <c r="A991" t="s">
        <v>152</v>
      </c>
      <c r="B991" t="s">
        <v>42</v>
      </c>
      <c r="C991" t="s">
        <v>79</v>
      </c>
      <c r="D991">
        <v>2030</v>
      </c>
      <c r="E991" t="s">
        <v>120</v>
      </c>
      <c r="F991" t="s">
        <v>109</v>
      </c>
      <c r="G991" t="s">
        <v>79</v>
      </c>
      <c r="H991">
        <v>0</v>
      </c>
      <c r="I991">
        <v>0</v>
      </c>
      <c r="J991">
        <v>0</v>
      </c>
      <c r="K991">
        <v>0</v>
      </c>
    </row>
    <row r="992" spans="1:11" x14ac:dyDescent="0.25">
      <c r="A992" t="s">
        <v>152</v>
      </c>
      <c r="B992" t="s">
        <v>42</v>
      </c>
      <c r="C992" t="s">
        <v>74</v>
      </c>
      <c r="D992">
        <v>2030</v>
      </c>
      <c r="E992" t="s">
        <v>120</v>
      </c>
      <c r="F992" t="s">
        <v>109</v>
      </c>
      <c r="G992" t="s">
        <v>74</v>
      </c>
      <c r="H992">
        <v>0</v>
      </c>
      <c r="I992">
        <v>0</v>
      </c>
      <c r="J992">
        <v>0</v>
      </c>
      <c r="K992">
        <v>0</v>
      </c>
    </row>
    <row r="993" spans="1:11" x14ac:dyDescent="0.25">
      <c r="A993" t="s">
        <v>152</v>
      </c>
      <c r="B993" t="s">
        <v>42</v>
      </c>
      <c r="C993" t="s">
        <v>77</v>
      </c>
      <c r="D993">
        <v>2030</v>
      </c>
      <c r="E993" t="s">
        <v>120</v>
      </c>
      <c r="F993" t="s">
        <v>109</v>
      </c>
      <c r="G993" t="s">
        <v>77</v>
      </c>
      <c r="H993">
        <v>0</v>
      </c>
      <c r="I993">
        <v>0</v>
      </c>
      <c r="J993">
        <v>0</v>
      </c>
      <c r="K993">
        <v>0</v>
      </c>
    </row>
    <row r="994" spans="1:11" x14ac:dyDescent="0.25">
      <c r="A994" t="s">
        <v>152</v>
      </c>
      <c r="B994" t="s">
        <v>42</v>
      </c>
      <c r="C994" t="s">
        <v>64</v>
      </c>
      <c r="D994">
        <v>2030</v>
      </c>
      <c r="E994" t="s">
        <v>120</v>
      </c>
      <c r="F994" t="s">
        <v>109</v>
      </c>
      <c r="G994" t="s">
        <v>64</v>
      </c>
      <c r="H994">
        <v>0</v>
      </c>
      <c r="I994">
        <v>0</v>
      </c>
      <c r="J994">
        <v>0</v>
      </c>
      <c r="K994">
        <v>0</v>
      </c>
    </row>
    <row r="995" spans="1:11" x14ac:dyDescent="0.25">
      <c r="A995" t="s">
        <v>152</v>
      </c>
      <c r="B995" t="s">
        <v>42</v>
      </c>
      <c r="C995" t="s">
        <v>119</v>
      </c>
      <c r="D995">
        <v>2030</v>
      </c>
      <c r="E995" t="s">
        <v>120</v>
      </c>
      <c r="F995" t="s">
        <v>109</v>
      </c>
      <c r="G995" t="s">
        <v>52</v>
      </c>
      <c r="H995">
        <v>0</v>
      </c>
      <c r="I995">
        <v>0</v>
      </c>
      <c r="J995">
        <v>0</v>
      </c>
      <c r="K995">
        <v>0</v>
      </c>
    </row>
    <row r="996" spans="1:11" x14ac:dyDescent="0.25">
      <c r="A996" t="s">
        <v>152</v>
      </c>
      <c r="B996" t="s">
        <v>42</v>
      </c>
      <c r="C996" t="s">
        <v>28</v>
      </c>
      <c r="D996">
        <v>2050</v>
      </c>
      <c r="E996" t="s">
        <v>120</v>
      </c>
      <c r="F996" t="s">
        <v>109</v>
      </c>
      <c r="G996" t="s">
        <v>28</v>
      </c>
      <c r="H996">
        <v>0</v>
      </c>
      <c r="I996">
        <v>0</v>
      </c>
      <c r="J996">
        <v>0</v>
      </c>
      <c r="K996">
        <v>0</v>
      </c>
    </row>
    <row r="997" spans="1:11" x14ac:dyDescent="0.25">
      <c r="A997" t="s">
        <v>152</v>
      </c>
      <c r="B997" t="s">
        <v>42</v>
      </c>
      <c r="C997" t="s">
        <v>33</v>
      </c>
      <c r="D997">
        <v>2050</v>
      </c>
      <c r="E997" t="s">
        <v>120</v>
      </c>
      <c r="F997" t="s">
        <v>109</v>
      </c>
      <c r="G997" t="s">
        <v>33</v>
      </c>
      <c r="H997">
        <v>0</v>
      </c>
      <c r="I997">
        <v>0</v>
      </c>
      <c r="J997">
        <v>0</v>
      </c>
      <c r="K997">
        <v>0</v>
      </c>
    </row>
    <row r="998" spans="1:11" x14ac:dyDescent="0.25">
      <c r="A998" t="s">
        <v>152</v>
      </c>
      <c r="B998" t="s">
        <v>42</v>
      </c>
      <c r="C998" t="s">
        <v>71</v>
      </c>
      <c r="D998">
        <v>2050</v>
      </c>
      <c r="E998" t="s">
        <v>120</v>
      </c>
      <c r="F998" t="s">
        <v>109</v>
      </c>
      <c r="G998" t="s">
        <v>71</v>
      </c>
      <c r="H998">
        <v>0</v>
      </c>
      <c r="I998">
        <v>0</v>
      </c>
      <c r="J998">
        <v>0</v>
      </c>
      <c r="K998">
        <v>0</v>
      </c>
    </row>
    <row r="999" spans="1:11" x14ac:dyDescent="0.25">
      <c r="A999" t="s">
        <v>152</v>
      </c>
      <c r="B999" t="s">
        <v>42</v>
      </c>
      <c r="C999" t="s">
        <v>52</v>
      </c>
      <c r="D999">
        <v>2050</v>
      </c>
      <c r="E999" t="s">
        <v>120</v>
      </c>
      <c r="F999" t="s">
        <v>109</v>
      </c>
      <c r="G999" t="s">
        <v>52</v>
      </c>
      <c r="H999">
        <v>0</v>
      </c>
      <c r="I999">
        <v>0</v>
      </c>
      <c r="J999">
        <v>0</v>
      </c>
      <c r="K999">
        <v>0</v>
      </c>
    </row>
    <row r="1000" spans="1:11" x14ac:dyDescent="0.25">
      <c r="A1000" t="s">
        <v>152</v>
      </c>
      <c r="B1000" t="s">
        <v>42</v>
      </c>
      <c r="C1000" t="s">
        <v>29</v>
      </c>
      <c r="D1000">
        <v>2050</v>
      </c>
      <c r="E1000" t="s">
        <v>120</v>
      </c>
      <c r="F1000" t="s">
        <v>109</v>
      </c>
      <c r="G1000" t="s">
        <v>29</v>
      </c>
      <c r="H1000">
        <v>0</v>
      </c>
      <c r="I1000">
        <v>0</v>
      </c>
      <c r="J1000">
        <v>0</v>
      </c>
      <c r="K1000">
        <v>0</v>
      </c>
    </row>
    <row r="1001" spans="1:11" x14ac:dyDescent="0.25">
      <c r="A1001" t="s">
        <v>152</v>
      </c>
      <c r="B1001" t="s">
        <v>42</v>
      </c>
      <c r="C1001" t="s">
        <v>30</v>
      </c>
      <c r="D1001">
        <v>2050</v>
      </c>
      <c r="E1001" t="s">
        <v>120</v>
      </c>
      <c r="F1001" t="s">
        <v>109</v>
      </c>
      <c r="G1001" t="s">
        <v>30</v>
      </c>
      <c r="H1001">
        <v>0</v>
      </c>
      <c r="I1001">
        <v>0</v>
      </c>
      <c r="J1001">
        <v>0</v>
      </c>
      <c r="K1001">
        <v>0</v>
      </c>
    </row>
    <row r="1002" spans="1:11" x14ac:dyDescent="0.25">
      <c r="A1002" t="s">
        <v>152</v>
      </c>
      <c r="B1002" t="s">
        <v>42</v>
      </c>
      <c r="C1002" t="s">
        <v>54</v>
      </c>
      <c r="D1002">
        <v>2050</v>
      </c>
      <c r="E1002" t="s">
        <v>120</v>
      </c>
      <c r="F1002" t="s">
        <v>109</v>
      </c>
      <c r="G1002" t="s">
        <v>54</v>
      </c>
      <c r="H1002">
        <v>0</v>
      </c>
      <c r="I1002">
        <v>0</v>
      </c>
      <c r="J1002">
        <v>0</v>
      </c>
      <c r="K1002">
        <v>0</v>
      </c>
    </row>
    <row r="1003" spans="1:11" x14ac:dyDescent="0.25">
      <c r="A1003" t="s">
        <v>152</v>
      </c>
      <c r="B1003" t="s">
        <v>42</v>
      </c>
      <c r="C1003" t="s">
        <v>53</v>
      </c>
      <c r="D1003">
        <v>2050</v>
      </c>
      <c r="E1003" t="s">
        <v>120</v>
      </c>
      <c r="F1003" t="s">
        <v>109</v>
      </c>
      <c r="G1003" t="s">
        <v>53</v>
      </c>
      <c r="H1003">
        <v>0</v>
      </c>
      <c r="I1003">
        <v>0</v>
      </c>
      <c r="J1003">
        <v>0</v>
      </c>
      <c r="K1003">
        <v>0</v>
      </c>
    </row>
    <row r="1004" spans="1:11" x14ac:dyDescent="0.25">
      <c r="A1004" t="s">
        <v>152</v>
      </c>
      <c r="B1004" t="s">
        <v>42</v>
      </c>
      <c r="C1004" t="s">
        <v>40</v>
      </c>
      <c r="D1004">
        <v>2050</v>
      </c>
      <c r="E1004" t="s">
        <v>120</v>
      </c>
      <c r="F1004" t="s">
        <v>109</v>
      </c>
      <c r="G1004" t="s">
        <v>40</v>
      </c>
      <c r="H1004">
        <v>0</v>
      </c>
      <c r="I1004">
        <v>0</v>
      </c>
      <c r="J1004">
        <v>0</v>
      </c>
      <c r="K1004">
        <v>0</v>
      </c>
    </row>
    <row r="1005" spans="1:11" x14ac:dyDescent="0.25">
      <c r="A1005" t="s">
        <v>152</v>
      </c>
      <c r="B1005" t="s">
        <v>42</v>
      </c>
      <c r="C1005" t="s">
        <v>79</v>
      </c>
      <c r="D1005">
        <v>2050</v>
      </c>
      <c r="E1005" t="s">
        <v>120</v>
      </c>
      <c r="F1005" t="s">
        <v>109</v>
      </c>
      <c r="G1005" t="s">
        <v>79</v>
      </c>
      <c r="H1005">
        <v>0</v>
      </c>
      <c r="I1005">
        <v>0</v>
      </c>
      <c r="J1005">
        <v>0</v>
      </c>
      <c r="K1005">
        <v>0</v>
      </c>
    </row>
    <row r="1006" spans="1:11" x14ac:dyDescent="0.25">
      <c r="A1006" t="s">
        <v>152</v>
      </c>
      <c r="B1006" t="s">
        <v>42</v>
      </c>
      <c r="C1006" t="s">
        <v>74</v>
      </c>
      <c r="D1006">
        <v>2050</v>
      </c>
      <c r="E1006" t="s">
        <v>120</v>
      </c>
      <c r="F1006" t="s">
        <v>109</v>
      </c>
      <c r="G1006" t="s">
        <v>74</v>
      </c>
      <c r="H1006">
        <v>0</v>
      </c>
      <c r="I1006">
        <v>0</v>
      </c>
      <c r="J1006">
        <v>0</v>
      </c>
      <c r="K1006">
        <v>0</v>
      </c>
    </row>
    <row r="1007" spans="1:11" x14ac:dyDescent="0.25">
      <c r="A1007" t="s">
        <v>152</v>
      </c>
      <c r="B1007" t="s">
        <v>42</v>
      </c>
      <c r="C1007" t="s">
        <v>77</v>
      </c>
      <c r="D1007">
        <v>2050</v>
      </c>
      <c r="E1007" t="s">
        <v>120</v>
      </c>
      <c r="F1007" t="s">
        <v>109</v>
      </c>
      <c r="G1007" t="s">
        <v>77</v>
      </c>
      <c r="H1007">
        <v>0</v>
      </c>
      <c r="I1007">
        <v>0</v>
      </c>
      <c r="J1007">
        <v>0</v>
      </c>
      <c r="K1007">
        <v>0</v>
      </c>
    </row>
    <row r="1008" spans="1:11" x14ac:dyDescent="0.25">
      <c r="A1008" t="s">
        <v>152</v>
      </c>
      <c r="B1008" t="s">
        <v>42</v>
      </c>
      <c r="C1008" t="s">
        <v>64</v>
      </c>
      <c r="D1008">
        <v>2050</v>
      </c>
      <c r="E1008" t="s">
        <v>120</v>
      </c>
      <c r="F1008" t="s">
        <v>109</v>
      </c>
      <c r="G1008" t="s">
        <v>64</v>
      </c>
      <c r="H1008">
        <v>0</v>
      </c>
      <c r="I1008">
        <v>0</v>
      </c>
      <c r="J1008">
        <v>0</v>
      </c>
      <c r="K1008">
        <v>0</v>
      </c>
    </row>
    <row r="1009" spans="1:11" x14ac:dyDescent="0.25">
      <c r="A1009" t="s">
        <v>152</v>
      </c>
      <c r="B1009" t="s">
        <v>42</v>
      </c>
      <c r="C1009" t="s">
        <v>119</v>
      </c>
      <c r="D1009">
        <v>2050</v>
      </c>
      <c r="E1009" t="s">
        <v>120</v>
      </c>
      <c r="F1009" t="s">
        <v>109</v>
      </c>
      <c r="G1009" t="s">
        <v>52</v>
      </c>
      <c r="H1009">
        <v>0</v>
      </c>
      <c r="I1009">
        <v>0</v>
      </c>
      <c r="J1009">
        <v>0</v>
      </c>
      <c r="K1009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Alexandra Freltoft</cp:lastModifiedBy>
  <dcterms:created xsi:type="dcterms:W3CDTF">2021-03-22T13:09:58Z</dcterms:created>
  <dcterms:modified xsi:type="dcterms:W3CDTF">2021-10-04T16:14:21Z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837322413921356</vt:r8>
  </property>
</Properties>
</file>